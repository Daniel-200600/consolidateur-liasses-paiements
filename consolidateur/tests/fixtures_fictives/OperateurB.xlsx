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chèques&amp;VIR" sheetId="1" state="visible" r:id="rId3"/>
    <sheet name="Transfert d'argent" sheetId="2" state="visible" r:id="rId4"/>
    <sheet name="Mobile Money1" sheetId="3" state="visible" r:id="rId5"/>
    <sheet name="MobileMoney2" sheetId="4" state="visible" r:id="rId6"/>
    <sheet name="MobileMoney3" sheetId="5" state="visible" r:id="rId7"/>
    <sheet name="Cartes1" sheetId="6" state="visible" r:id="rId8"/>
    <sheet name="Cartes 2" sheetId="7" state="visible" r:id="rId9"/>
    <sheet name="Cartes 3" sheetId="8" state="visible" r:id="rId10"/>
    <sheet name="Cartes 4" sheetId="9" state="visible" r:id="rId11"/>
    <sheet name="Cartes 5" sheetId="10" state="visible" r:id="rId12"/>
    <sheet name="PrêtsCredit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<sst xmlns="http://schemas.openxmlformats.org/spreadsheetml/2006/main" count="500" uniqueCount="279">
  <si>
    <t xml:space="preserve">STATISTIQUES SUR LES INSTRUMENTS DE PAIEMENT 2025</t>
  </si>
  <si>
    <t xml:space="preserve">Etablissement :</t>
  </si>
  <si>
    <t xml:space="preserve">Nombre de compte de chèques</t>
  </si>
  <si>
    <t xml:space="preserve">Nombre de particuliers ayant des chequiers</t>
  </si>
  <si>
    <t xml:space="preserve">Nombre de personnes morales ayant des chequiers</t>
  </si>
  <si>
    <t xml:space="preserve">CHEQUES</t>
  </si>
  <si>
    <t xml:space="preserve">Nombre</t>
  </si>
  <si>
    <t xml:space="preserve">Montant</t>
  </si>
  <si>
    <t xml:space="preserve">A -Transaction par chèques entre clients de la banque</t>
  </si>
  <si>
    <t xml:space="preserve">B- Transactions par chèques SYSTAC</t>
  </si>
  <si>
    <t xml:space="preserve">           - dont émis par vos clients</t>
  </si>
  <si>
    <t xml:space="preserve">           - dont reçus </t>
  </si>
  <si>
    <t xml:space="preserve">C- Chèques internationaux (hors CEMAC)</t>
  </si>
  <si>
    <t xml:space="preserve">TOTAL (A+B+C)</t>
  </si>
  <si>
    <t xml:space="preserve">VIREMENTS</t>
  </si>
  <si>
    <t xml:space="preserve">A -Transaction par virements entre clients de la banque</t>
  </si>
  <si>
    <t xml:space="preserve">B- Transactions par virements SYSTAC</t>
  </si>
  <si>
    <t xml:space="preserve">C- Virements internationaux (hors CEMAC)</t>
  </si>
  <si>
    <t xml:space="preserve">PRELEVEMENTS</t>
  </si>
  <si>
    <t xml:space="preserve">Prelèvements dans la banque</t>
  </si>
  <si>
    <t xml:space="preserve">EFFETS DE COMMERCE</t>
  </si>
  <si>
    <t xml:space="preserve">A- Effets de commerce entre clients de la banque</t>
  </si>
  <si>
    <t xml:space="preserve">B- Effets de commerce en compensation émis par vos clients</t>
  </si>
  <si>
    <t xml:space="preserve">          - en zone CEMAC</t>
  </si>
  <si>
    <t xml:space="preserve">         - A l'international</t>
  </si>
  <si>
    <t xml:space="preserve">C- Effets de commerce en compensation reçus</t>
  </si>
  <si>
    <t xml:space="preserve">RETRAITS MANUELS</t>
  </si>
  <si>
    <t xml:space="preserve">Retrais espèces aux guichets</t>
  </si>
  <si>
    <t xml:space="preserve">STATISTIQUES TRANSFERT D'ARGENT 2025
(service de transmission de fonds)</t>
  </si>
  <si>
    <t xml:space="preserve">Remplir un formulaire pour chaque type de réseau de transfert d'argent</t>
  </si>
  <si>
    <t xml:space="preserve">Réseau:</t>
  </si>
  <si>
    <t xml:space="preserve">TOTAL TRANSACTIONS (A+B)</t>
  </si>
  <si>
    <t xml:space="preserve">TOTAL TRANSACTIONS</t>
  </si>
  <si>
    <t xml:space="preserve">valeur</t>
  </si>
  <si>
    <t xml:space="preserve">Transfert d'argent reçus</t>
  </si>
  <si>
    <t xml:space="preserve">Transfert d'argent envoi</t>
  </si>
  <si>
    <t xml:space="preserve">Total</t>
  </si>
  <si>
    <t xml:space="preserve">A- OPERATIONS DOMESTIQUES (zone CEMAC)</t>
  </si>
  <si>
    <t xml:space="preserve">             - dont Cameroun</t>
  </si>
  <si>
    <t xml:space="preserve">             - dont Tchad</t>
  </si>
  <si>
    <t xml:space="preserve">             - dont RCA</t>
  </si>
  <si>
    <t xml:space="preserve">             - dont Congo</t>
  </si>
  <si>
    <t xml:space="preserve">             - dont Gabon</t>
  </si>
  <si>
    <t xml:space="preserve">             - dont Guinée Equatoriale</t>
  </si>
  <si>
    <t xml:space="preserve">B- Transactions internationales (hors zone CEMAC)</t>
  </si>
  <si>
    <t xml:space="preserve">             - dont Afrique de l'ouest (CEDEAO)</t>
  </si>
  <si>
    <t xml:space="preserve">             - dont autres pays africains</t>
  </si>
  <si>
    <t xml:space="preserve">             - dont Union Europeenne</t>
  </si>
  <si>
    <t xml:space="preserve">              - dont autres pays d'Europe</t>
  </si>
  <si>
    <t xml:space="preserve">             - dont Amérique du Nord</t>
  </si>
  <si>
    <t xml:space="preserve">             - dont Amérique du Sud</t>
  </si>
  <si>
    <t xml:space="preserve">             - dont Asie</t>
  </si>
  <si>
    <t xml:space="preserve">             - dont Oceanie</t>
  </si>
  <si>
    <t xml:space="preserve">             - dont autres pays d'Europe</t>
  </si>
  <si>
    <t xml:space="preserve">INFORMATIONS SUR LE MOBILE MONEY</t>
  </si>
  <si>
    <t xml:space="preserve">Service :</t>
  </si>
  <si>
    <t xml:space="preserve">Nature de l’information</t>
  </si>
  <si>
    <t xml:space="preserve">Encours de monnaie électronique </t>
  </si>
  <si>
    <t xml:space="preserve">Solde du compte « miroir » garantissant l’encours de monnaie électronique émise</t>
  </si>
  <si>
    <t xml:space="preserve">19 144 002 809,00</t>
  </si>
  <si>
    <t xml:space="preserve">Nombre total de porteurs de Mobile Money</t>
  </si>
  <si>
    <t xml:space="preserve">Nombre de porteurs de Mobile Money actifs (1)</t>
  </si>
  <si>
    <t xml:space="preserve">Nombre de porteurs de Mobile Money disposant d’un compte bancaire</t>
  </si>
  <si>
    <t xml:space="preserve">Nombre de porteurs de Mobile Money salariés</t>
  </si>
  <si>
    <t xml:space="preserve">Nombre de porteurs de Mobile Money étudiants ou élèves</t>
  </si>
  <si>
    <t xml:space="preserve">Nombre de porteurs de Mobile Money sans profession déclarée</t>
  </si>
  <si>
    <t xml:space="preserve">Nombre de porteurs de Mobile Money de sexe féminin</t>
  </si>
  <si>
    <t xml:space="preserve">Nombre de porteurs de Mobile Money de sexe masculin</t>
  </si>
  <si>
    <t xml:space="preserve">Nombre de porteurs de Mobile Money agés de moins de 21 ans</t>
  </si>
  <si>
    <t xml:space="preserve">Nombre de porteurs de Mobile Money agés de 21 à 35 ans</t>
  </si>
  <si>
    <t xml:space="preserve">Nombre de porteurs de Mobile Money agés entre 35 et 60 ans</t>
  </si>
  <si>
    <t xml:space="preserve">Nombre de porteurs de Mobile Money agés de plus de 60 ans</t>
  </si>
  <si>
    <t xml:space="preserve">Nombre total d’accepteurs de mobile Money</t>
  </si>
  <si>
    <t xml:space="preserve">Nombre d’accepteurs de mobile Money transports et voyages</t>
  </si>
  <si>
    <t xml:space="preserve">Nombre d’accepteurs de mobile Money Règlement de factures eau, électricités, téléphone, services de télécommunications et télévision</t>
  </si>
  <si>
    <t xml:space="preserve">Nombre d’accepteurs de mobile Money Supemachés, magasins d’équipement menager</t>
  </si>
  <si>
    <t xml:space="preserve">Nombre d’accepteurs de mobile Money Administrations et services publics</t>
  </si>
  <si>
    <t xml:space="preserve">Nombre d’accepteurs de mobile Money divertissements et loisirs</t>
  </si>
  <si>
    <t xml:space="preserve">Nombre d’accepteurs de mobile Money Alimentation et boissons</t>
  </si>
  <si>
    <t xml:space="preserve">Nombre d’accepteurs de mobile Money Vente à distance</t>
  </si>
  <si>
    <t xml:space="preserve">Nombre d’accepteurs de mobile Money Garage, voiture, moto et pièces detachées</t>
  </si>
  <si>
    <t xml:space="preserve">Nombre d’accepteurs de mobile Money Universités et écoles / services aux étudiants et élèves</t>
  </si>
  <si>
    <t xml:space="preserve">Nombre d’accepteurs de mobile Money Pétrole / Essence / stations services</t>
  </si>
  <si>
    <t xml:space="preserve">Nombre d’accepteurs de mobile Money Hotels et autres services d’hebergement</t>
  </si>
  <si>
    <t xml:space="preserve">Nombre d’accepteurs de mobile Money services divers (2)</t>
  </si>
  <si>
    <t xml:space="preserve">Nombre d’accepteurs de mobile Money autres détaillants (3)</t>
  </si>
  <si>
    <t xml:space="preserve">Nombre de distributeurs de Mobile Money</t>
  </si>
  <si>
    <t xml:space="preserve">Nombre de cartes prépayées actives</t>
  </si>
  <si>
    <t xml:space="preserve">Nombre de porteurs de cartes prépayées actifs (1)</t>
  </si>
  <si>
    <t xml:space="preserve">Nombre de porteurs de cartes prépayés salariés</t>
  </si>
  <si>
    <t xml:space="preserve">Nombre de porteurs de cartes prépayées étudiants ou élèves</t>
  </si>
  <si>
    <t xml:space="preserve">Nombre de porteurs de cartes prépayées sans profession déclarée</t>
  </si>
  <si>
    <t xml:space="preserve">Nombre de porteurs de cartes prépayées de sexe féminin</t>
  </si>
  <si>
    <t xml:space="preserve">Nombre de porteurs de cartes prépayées de sexe masculin</t>
  </si>
  <si>
    <t xml:space="preserve">Nombre de porteurs de cartes prépayées agés de moins de 21 ans</t>
  </si>
  <si>
    <t xml:space="preserve">Nombre de porteurs de cartes prépayées agés entre 21 et 35 ans</t>
  </si>
  <si>
    <t xml:space="preserve">Nombre de porteurs de cartes prépayées agés entre 35 et 60 ans </t>
  </si>
  <si>
    <t xml:space="preserve">Nombre de porteurs de cartes prépayées agés de plus de 60 ans</t>
  </si>
  <si>
    <t xml:space="preserve">Encours total de  monnaie électronique dans les cartes prépayées (4)</t>
  </si>
  <si>
    <t xml:space="preserve">(1) porteurs qui ont effectué au moins une transaction au cours des 30 derniers jours</t>
  </si>
  <si>
    <t xml:space="preserve">(2) autres services non repertoriés ailleurs</t>
  </si>
  <si>
    <t xml:space="preserve">(3) vente de biens non repertoriés ailleurs</t>
  </si>
  <si>
    <t xml:space="preserve">(4) somme des soldes des comptes de monnaie électronique</t>
  </si>
  <si>
    <t xml:space="preserve">TRANSACTIONS DE MOBILE MONEY 2025</t>
  </si>
  <si>
    <t xml:space="preserve">TOTAL 2025</t>
  </si>
  <si>
    <t xml:space="preserve">Nombre </t>
  </si>
  <si>
    <t xml:space="preserve">Valeur</t>
  </si>
  <si>
    <t xml:space="preserve">Recharge  de monnaie électronique(1)</t>
  </si>
  <si>
    <t xml:space="preserve">220966</t>
  </si>
  <si>
    <t xml:space="preserve">Transfert d'argent sur support de monnaie électronique (2)</t>
  </si>
  <si>
    <t xml:space="preserve">Retraits automates à partir de support de monnaie électronique (3)</t>
  </si>
  <si>
    <t xml:space="preserve">Retraits au guichet à partir de support de monnaie électronique (4)</t>
  </si>
  <si>
    <t xml:space="preserve">Paiement total en monnaie électronique (5)</t>
  </si>
  <si>
    <t xml:space="preserve">Transports et voyages (0,5%)</t>
  </si>
  <si>
    <t xml:space="preserve">Eau (0,4%)</t>
  </si>
  <si>
    <t xml:space="preserve">Electricité (7,9%)</t>
  </si>
  <si>
    <t xml:space="preserve"> </t>
  </si>
  <si>
    <t xml:space="preserve">17354</t>
  </si>
  <si>
    <t xml:space="preserve">22694</t>
  </si>
  <si>
    <t xml:space="preserve">128122</t>
  </si>
  <si>
    <t xml:space="preserve">599211151</t>
  </si>
  <si>
    <t xml:space="preserve">18340</t>
  </si>
  <si>
    <t xml:space="preserve">26061</t>
  </si>
  <si>
    <t xml:space="preserve">20287</t>
  </si>
  <si>
    <t xml:space="preserve">Téléphone (15,1%)</t>
  </si>
  <si>
    <t xml:space="preserve">186615</t>
  </si>
  <si>
    <t xml:space="preserve">1003403863</t>
  </si>
  <si>
    <t xml:space="preserve">130281</t>
  </si>
  <si>
    <t xml:space="preserve">557477792</t>
  </si>
  <si>
    <t xml:space="preserve">12673</t>
  </si>
  <si>
    <t xml:space="preserve">160753</t>
  </si>
  <si>
    <t xml:space="preserve">723031606</t>
  </si>
  <si>
    <t xml:space="preserve">174693</t>
  </si>
  <si>
    <t xml:space="preserve">795521471</t>
  </si>
  <si>
    <t xml:space="preserve">202810</t>
  </si>
  <si>
    <t xml:space="preserve">Télévision (4,1%)</t>
  </si>
  <si>
    <t xml:space="preserve">23734</t>
  </si>
  <si>
    <t xml:space="preserve">31324</t>
  </si>
  <si>
    <t xml:space="preserve">27280</t>
  </si>
  <si>
    <t xml:space="preserve">26244</t>
  </si>
  <si>
    <t xml:space="preserve">35593</t>
  </si>
  <si>
    <t xml:space="preserve">30316</t>
  </si>
  <si>
    <t xml:space="preserve">39031</t>
  </si>
  <si>
    <t xml:space="preserve">29090</t>
  </si>
  <si>
    <t xml:space="preserve">Supemachés, magasins d’équipement menager (1,3%)</t>
  </si>
  <si>
    <t xml:space="preserve">Administrations et services publics (0,1%)</t>
  </si>
  <si>
    <t xml:space="preserve">Divertissements et loisirs (3,4%)</t>
  </si>
  <si>
    <t xml:space="preserve">Alimentation et boissons (11,8%)</t>
  </si>
  <si>
    <t xml:space="preserve">Vente à distance (22,1%)</t>
  </si>
  <si>
    <t xml:space="preserve">Garage, voiture, moto et pièces detachées</t>
  </si>
  <si>
    <t xml:space="preserve">Universités et écoles (2%)</t>
  </si>
  <si>
    <t xml:space="preserve">Stations services (5,7%)</t>
  </si>
  <si>
    <t xml:space="preserve">Services divers (9,3%)</t>
  </si>
  <si>
    <t xml:space="preserve">551</t>
  </si>
  <si>
    <t xml:space="preserve">925</t>
  </si>
  <si>
    <t xml:space="preserve">610</t>
  </si>
  <si>
    <t xml:space="preserve">890</t>
  </si>
  <si>
    <t xml:space="preserve">517</t>
  </si>
  <si>
    <t xml:space="preserve">639</t>
  </si>
  <si>
    <t xml:space="preserve">Hebergement</t>
  </si>
  <si>
    <t xml:space="preserve">Autres detaillants (14,8%)</t>
  </si>
  <si>
    <t xml:space="preserve">     -dont Paiements autres détaillants</t>
  </si>
  <si>
    <t xml:space="preserve">(1) La recharge correspond à une opération de crédit dans le compte de monnaie électronique du porteur, contre remise d'espèces ou débit d'un compte bancaire</t>
  </si>
  <si>
    <t xml:space="preserve">(2) Le transfert d'argent est une opération de crédit dans le compte de monnaie électronique, résultant du débit d'un autre compte de monnaie électronique</t>
  </si>
  <si>
    <t xml:space="preserve">(3) Le retrait automates renvoie à une opération de retraits d’espèces des porteurs effectués sur les automates</t>
  </si>
  <si>
    <t xml:space="preserve">(4) Le retrait au guichet correspond aux retraits manuels des porteurs dans les guichets de la banque, du partenaire technique et des distributeurs</t>
  </si>
  <si>
    <t xml:space="preserve">(5) Le paiement en monnaie électronique consiste en une opération effectuée auprès de commercçants, y compris les règlements de facture</t>
  </si>
  <si>
    <t xml:space="preserve">MOBILE MONEY : TRANSACTIONS INTEROPERABLES 2025</t>
  </si>
  <si>
    <t xml:space="preserve">SATISTIQUES CARTES BANCAIRES 2025</t>
  </si>
  <si>
    <t xml:space="preserve">Nom de l'établissement : </t>
  </si>
  <si>
    <t xml:space="preserve">Nobre de clients : </t>
  </si>
  <si>
    <t xml:space="preserve">Nombre de comptes :</t>
  </si>
  <si>
    <t xml:space="preserve">Nombre de cartes</t>
  </si>
  <si>
    <t xml:space="preserve">Type de cartes</t>
  </si>
  <si>
    <t xml:space="preserve">Cartes de crédit</t>
  </si>
  <si>
    <t xml:space="preserve">Cartes de débit différé</t>
  </si>
  <si>
    <t xml:space="preserve">Cartes de débit</t>
  </si>
  <si>
    <t xml:space="preserve">Cartes prépayées</t>
  </si>
  <si>
    <t xml:space="preserve">TOTAL</t>
  </si>
  <si>
    <t xml:space="preserve">Transactions cartes 2025</t>
  </si>
  <si>
    <t xml:space="preserve">*</t>
  </si>
  <si>
    <t xml:space="preserve">Valeur des transactions</t>
  </si>
  <si>
    <t xml:space="preserve">Privative</t>
  </si>
  <si>
    <t xml:space="preserve">GIMAC</t>
  </si>
  <si>
    <t xml:space="preserve">VISA</t>
  </si>
  <si>
    <t xml:space="preserve">MASTERCARD</t>
  </si>
  <si>
    <t xml:space="preserve">UnionPay</t>
  </si>
  <si>
    <t xml:space="preserve">American Express</t>
  </si>
  <si>
    <t xml:space="preserve">Autres ………………..</t>
  </si>
  <si>
    <t xml:space="preserve">Fraude sur les cartes</t>
  </si>
  <si>
    <t xml:space="preserve">Nombre de transactions frauduleuses</t>
  </si>
  <si>
    <t xml:space="preserve">Montant de la fraude</t>
  </si>
  <si>
    <t xml:space="preserve">TRANSACTIONS CARTES EN EMISSION</t>
  </si>
  <si>
    <t xml:space="preserve">Réseau :</t>
  </si>
  <si>
    <t xml:space="preserve">(remplir un formulaire pour chacun des réseaux de cartes)</t>
  </si>
  <si>
    <t xml:space="preserve">TRANSACTIONS TOTALES</t>
  </si>
  <si>
    <t xml:space="preserve">Paiements / achats</t>
  </si>
  <si>
    <t xml:space="preserve">                                                      </t>
  </si>
  <si>
    <t xml:space="preserve">                                                                                                        </t>
  </si>
  <si>
    <t xml:space="preserve"> -dont vente à distance (3)</t>
  </si>
  <si>
    <t xml:space="preserve">                                                     </t>
  </si>
  <si>
    <t xml:space="preserve">                                                                                                       </t>
  </si>
  <si>
    <t xml:space="preserve">retraits GAB</t>
  </si>
  <si>
    <t xml:space="preserve">Transferts (4)</t>
  </si>
  <si>
    <t xml:space="preserve">                                                    </t>
  </si>
  <si>
    <t xml:space="preserve">Avoirs / Crédits (5)</t>
  </si>
  <si>
    <t xml:space="preserve">Remboursements (6)</t>
  </si>
  <si>
    <t xml:space="preserve">Total (A) = B+C+D</t>
  </si>
  <si>
    <t xml:space="preserve"> TRANSACTIONS DANS LA BANQUE     </t>
  </si>
  <si>
    <t xml:space="preserve">     -dont vente à distance</t>
  </si>
  <si>
    <t xml:space="preserve">Transferts</t>
  </si>
  <si>
    <t xml:space="preserve">Avoirs / Crédits</t>
  </si>
  <si>
    <t xml:space="preserve">Remboursements</t>
  </si>
  <si>
    <t xml:space="preserve">Total (B)</t>
  </si>
  <si>
    <t xml:space="preserve">TRANSACTIONS DANS LA CEMAC (2)    </t>
  </si>
  <si>
    <t xml:space="preserve">Total ( C)</t>
  </si>
  <si>
    <t xml:space="preserve">TRANSACTIONS INTERNATIONALES (2)  </t>
  </si>
  <si>
    <t xml:space="preserve">     - dont vente à ditance</t>
  </si>
  <si>
    <t xml:space="preserve">Total (D)</t>
  </si>
  <si>
    <t xml:space="preserve">(1) Transactions dans les guichets ou les automates localisés dans la CEMAC autres que ceux de la banque</t>
  </si>
  <si>
    <t xml:space="preserve">(2) Transations dans les guichets ou les automates localisés hors de la CEMAC </t>
  </si>
  <si>
    <t xml:space="preserve">(3) opérations d'achats de biens ou de services réalisés sans la présence effective du porteur dans une boutique (internet, téléphone etc,)</t>
  </si>
  <si>
    <t xml:space="preserve">(4) Transfert carte vers une autre carte ou de la carte vers un porte-monnaie électronique</t>
  </si>
  <si>
    <t xml:space="preserve">(5) opération de crédit à l'initiative des commerçants</t>
  </si>
  <si>
    <t xml:space="preserve">(6) opération de crédit à l'initiative d'une banque en annulation d'une transaction à la suite d'une réclamation du porteur</t>
  </si>
  <si>
    <t xml:space="preserve">Total = Paiements + Retraits + Transferts + Avoirs - Remboursements</t>
  </si>
  <si>
    <t xml:space="preserve">TRANSACTIONS CARTES EN ACQUISITION</t>
  </si>
  <si>
    <t xml:space="preserve">Réseau : </t>
  </si>
  <si>
    <t xml:space="preserve">(remplir un formuaire par réseau)</t>
  </si>
  <si>
    <t xml:space="preserve">Réseau</t>
  </si>
  <si>
    <t xml:space="preserve">Nombre de GAB</t>
  </si>
  <si>
    <t xml:space="preserve">Nombre de TPE</t>
  </si>
  <si>
    <t xml:space="preserve">TPE acceptant les cartes sans contact</t>
  </si>
  <si>
    <t xml:space="preserve">Nombre de Commerçants </t>
  </si>
  <si>
    <t xml:space="preserve">Nombre de e-commerce </t>
  </si>
  <si>
    <t xml:space="preserve">PAIEMENTS PAR CARTES 2025</t>
  </si>
  <si>
    <t xml:space="preserve">Réseau :  (remplir un formulaire par réseau)</t>
  </si>
  <si>
    <t xml:space="preserve">Total des paiements</t>
  </si>
  <si>
    <t xml:space="preserve">     - dont Paiements transports et voyages</t>
  </si>
  <si>
    <t xml:space="preserve">     - dont Paiements facture d’eau</t>
  </si>
  <si>
    <t xml:space="preserve">     -dont Paiements facture d’électricité</t>
  </si>
  <si>
    <t xml:space="preserve">     -dont Paiements facture téléphone postpayé et prépayé</t>
  </si>
  <si>
    <t xml:space="preserve">     -dont Paiements télévision et autres services de télécommunication</t>
  </si>
  <si>
    <t xml:space="preserve">     - dont Paiements Supermarchés, magasins d’équipement ménager</t>
  </si>
  <si>
    <t xml:space="preserve">     - dont Paiements Administrations et services publics</t>
  </si>
  <si>
    <t xml:space="preserve">     -dont Paiements divertissements et loisirs</t>
  </si>
  <si>
    <t xml:space="preserve">     -dont Paiements Alimentation et boissons</t>
  </si>
  <si>
    <t xml:space="preserve">     -dont Paiements Vente à distance (1)</t>
  </si>
  <si>
    <t xml:space="preserve">     - dont Paiements Garage, voiture, moto et pièces détachées</t>
  </si>
  <si>
    <t xml:space="preserve">     - dont Paiements Universités et écoles / services aux étudiants et élèves</t>
  </si>
  <si>
    <t xml:space="preserve">     -dont Paiements Pétrole / Essence / stations-services</t>
  </si>
  <si>
    <t xml:space="preserve">     -dont Paiements Services divers</t>
  </si>
  <si>
    <t xml:space="preserve">     -dont Paiements Hotels et autres services d’hébergement</t>
  </si>
  <si>
    <t xml:space="preserve">     -dont Paiements services divers</t>
  </si>
  <si>
    <t xml:space="preserve">     -dont Paiements restaurant</t>
  </si>
  <si>
    <t xml:space="preserve">(1) Sur Internet</t>
  </si>
  <si>
    <t xml:space="preserve">(Pour chacun de vos réseau d’acquisition, veuillez renseigner les statistiques suivantes concernant les transactions des autres porteurs sur vos automates )</t>
  </si>
  <si>
    <t xml:space="preserve">Retrait d'argent</t>
  </si>
  <si>
    <t xml:space="preserve">Retrait GAB</t>
  </si>
  <si>
    <t xml:space="preserve">Retrait manuel (2)</t>
  </si>
  <si>
    <t xml:space="preserve">Total A =B+C+D</t>
  </si>
  <si>
    <t xml:space="preserve">TRANSACTIONS DE VOS PORTEURS</t>
  </si>
  <si>
    <t xml:space="preserve">Retrait manuel</t>
  </si>
  <si>
    <t xml:space="preserve">Total B</t>
  </si>
  <si>
    <t xml:space="preserve">TRANSACTIONS DES PORTEURS DE LA CEMAC</t>
  </si>
  <si>
    <t xml:space="preserve">Total C</t>
  </si>
  <si>
    <t xml:space="preserve">TRANSACTIONS DES PORTEURS INTERNATIONAUX</t>
  </si>
  <si>
    <t xml:space="preserve">Total D</t>
  </si>
  <si>
    <t xml:space="preserve">TPE</t>
  </si>
  <si>
    <t xml:space="preserve">Paiement</t>
  </si>
  <si>
    <t xml:space="preserve">  - Dont paiement à distance</t>
  </si>
  <si>
    <t xml:space="preserve">Annulation/remboursement</t>
  </si>
  <si>
    <t xml:space="preserve">Total A = B+C+D</t>
  </si>
  <si>
    <t xml:space="preserve">PRETS / CREDITS OCTROYEES AUX PARTICUIERSEN 2025</t>
  </si>
  <si>
    <t xml:space="preserve">Type de prêt (nom du service)</t>
  </si>
  <si>
    <t xml:space="preserve">Durée (en jours)</t>
  </si>
  <si>
    <t xml:space="preserve">TEG</t>
  </si>
  <si>
    <t xml:space="preserve">Montants octroyés</t>
  </si>
  <si>
    <t xml:space="preserve">remboursements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</si>
</sst>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\ _F_C_F_A_-;\-* #,##0.00\ _F_C_F_A_-;_-* \-??\ _F_C_F_A_-;_-@_-"/>
    <numFmt numFmtId="166" formatCode="#,##0"/>
    <numFmt numFmtId="167" formatCode="_-* #,##0.00\ _€_-;\-* #,##0.00\ _€_-;_-* \-??\ _€_-;_-@_-"/>
    <numFmt numFmtId="168" formatCode="_-* #,##0\ _€_-;\-* #,##0\ _€_-;_-* \-??\ _€_-;_-@_-"/>
    <numFmt numFmtId="169" formatCode="mmm\-yy"/>
    <numFmt numFmtId="170" formatCode="#,##0\ ;&quot; -&quot;0\ ;;@"/>
    <numFmt numFmtId="171" formatCode="#\ ###\ ##0.00;\-#\ ###\ ##0.00;#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FF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Times New Roman"/>
      <family val="1"/>
      <charset val="1"/>
    </font>
    <font>
      <b val="true"/>
      <sz val="14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i val="true"/>
      <sz val="13"/>
      <color theme="1"/>
      <name val="Times New Roman"/>
      <family val="1"/>
      <charset val="1"/>
    </font>
    <font>
      <sz val="13"/>
      <name val="Times New Roman"/>
      <family val="1"/>
      <charset val="1"/>
    </font>
    <font>
      <i val="true"/>
      <sz val="12"/>
      <color theme="1"/>
      <name val="Times New Roman"/>
      <family val="1"/>
      <charset val="1"/>
    </font>
    <font>
      <i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 val="true"/>
      <sz val="16"/>
      <color theme="1"/>
      <name val="Calibri"/>
      <family val="2"/>
      <charset val="1"/>
    </font>
    <font>
      <sz val="14"/>
      <color rgb="FF0000F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</fonts>
  <fills count="12">
    <fill>
      <patternFill patternType="none"/>
    </fill>
    <fill>
      <patternFill patternType="gray125"/>
    </fill>
    <fill>
      <patternFill patternType="solid">
        <fgColor rgb="FF996600"/>
        <bgColor rgb="FF993300"/>
      </patternFill>
    </fill>
    <fill>
      <patternFill patternType="solid">
        <fgColor rgb="FFFFFF99"/>
        <bgColor rgb="FFEBF1DE"/>
      </patternFill>
    </fill>
    <fill>
      <patternFill patternType="solid">
        <fgColor theme="6" tint="0.5999"/>
        <bgColor rgb="FFEBF1DE"/>
      </patternFill>
    </fill>
    <fill>
      <patternFill patternType="solid">
        <fgColor rgb="FFFF99FF"/>
        <bgColor rgb="FFCC99FF"/>
      </patternFill>
    </fill>
    <fill>
      <patternFill patternType="solid">
        <fgColor theme="6" tint="0.7999"/>
        <bgColor rgb="FFD7E4BD"/>
      </patternFill>
    </fill>
    <fill>
      <patternFill patternType="solid">
        <fgColor rgb="FFC4C4C4"/>
        <bgColor rgb="FFBDBDBD"/>
      </patternFill>
    </fill>
    <fill>
      <patternFill patternType="solid">
        <fgColor theme="0"/>
        <bgColor rgb="FFEBF1DE"/>
      </patternFill>
    </fill>
    <fill>
      <patternFill patternType="solid">
        <fgColor rgb="FFBDBDBD"/>
        <bgColor rgb="FFC4C4C4"/>
      </patternFill>
    </fill>
    <fill>
      <patternFill patternType="solid">
        <fgColor rgb="FF99CCFF"/>
        <bgColor rgb="FFC4C4C4"/>
      </patternFill>
    </fill>
    <fill>
      <patternFill patternType="solid">
        <fgColor rgb="FFCCFFCC"/>
        <bgColor rgb="FFCCFFFF"/>
      </patternFill>
    </fill>
  </fills>
  <borders count="6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 style="medium"/>
      <right style="thin"/>
      <top style="thin"/>
      <bottom style="double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 style="medium"/>
      <top/>
      <bottom style="double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/>
      <top style="medium"/>
      <bottom style="thick"/>
      <diagonal/>
    </border>
    <border diagonalUp="false" diagonalDown="false">
      <left style="medium"/>
      <right style="medium"/>
      <top style="thick"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medium"/>
      <right/>
      <top style="thick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ck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thick"/>
      <bottom style="thick"/>
      <diagonal/>
    </border>
    <border diagonalUp="false" diagonalDown="false">
      <left style="medium"/>
      <right style="medium"/>
      <top/>
      <bottom style="thick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2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2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2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2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2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2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3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3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3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2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3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3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3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3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3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4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4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4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4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3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4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4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4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4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2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3" fillId="0" borderId="2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3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3" fillId="0" borderId="2" xfId="15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4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8" borderId="5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5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8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8" borderId="2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8" borderId="5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8" borderId="5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8" borderId="5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8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5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3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6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8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4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8" borderId="5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16" fillId="8" borderId="6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0" fillId="0" borderId="6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63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8" borderId="2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8" borderId="3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6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6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5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5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11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11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11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11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11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11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1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6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iers 2" xfId="20"/>
    <cellStyle name="Normal 18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BDBDBD"/>
      <rgbColor rgb="FF808080"/>
      <rgbColor rgb="FF9999FF"/>
      <rgbColor rgb="FF993366"/>
      <rgbColor rgb="FFEBF1DE"/>
      <rgbColor rgb="FFD7E4BD"/>
      <rgbColor rgb="FF660066"/>
      <rgbColor rgb="FFFF8080"/>
      <rgbColor rgb="FF0066CC"/>
      <rgbColor rgb="FFC4C4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FF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55.42"/>
    <col collapsed="false" customWidth="true" hidden="false" outlineLevel="0" max="2" min="2" style="1" width="15.85"/>
    <col collapsed="false" customWidth="true" hidden="false" outlineLevel="0" max="3" min="3" style="1" width="19.57"/>
  </cols>
  <sheetData>
    <row r="1" customFormat="false" ht="18" hidden="false" customHeight="true" outlineLevel="0" collapsed="false">
      <c r="A1" s="2" t="s">
        <v>0</v>
      </c>
      <c r="B1" s="2"/>
      <c r="C1" s="2"/>
    </row>
    <row r="2" customFormat="false" ht="18" hidden="false" customHeight="true" outlineLevel="0" collapsed="false">
      <c r="A2" s="3" t="s">
        <v>1</v>
      </c>
      <c r="B2" s="4"/>
      <c r="C2" s="4"/>
    </row>
    <row r="3" customFormat="false" ht="15" hidden="false" customHeight="false" outlineLevel="0" collapsed="false">
      <c r="A3" s="5" t="s">
        <v>2</v>
      </c>
      <c r="B3" s="5"/>
    </row>
    <row r="4" customFormat="false" ht="15" hidden="false" customHeight="false" outlineLevel="0" collapsed="false">
      <c r="A4" s="6" t="s">
        <v>3</v>
      </c>
      <c r="B4" s="6"/>
    </row>
    <row r="5" customFormat="false" ht="15" hidden="false" customHeight="false" outlineLevel="0" collapsed="false">
      <c r="A5" s="5" t="s">
        <v>4</v>
      </c>
      <c r="B5" s="5"/>
    </row>
    <row r="7" customFormat="false" ht="15.75" hidden="false" customHeight="true" outlineLevel="0" collapsed="false">
      <c r="A7" s="7" t="s">
        <v>5</v>
      </c>
    </row>
    <row r="8" customFormat="false" ht="15" hidden="false" customHeight="false" outlineLevel="0" collapsed="false">
      <c r="A8" s="8"/>
      <c r="B8" s="9" t="s">
        <v>6</v>
      </c>
      <c r="C8" s="10" t="s">
        <v>7</v>
      </c>
    </row>
    <row r="9" customFormat="false" ht="15" hidden="false" customHeight="false" outlineLevel="0" collapsed="false">
      <c r="A9" s="11" t="s">
        <v>8</v>
      </c>
      <c r="B9" s="5"/>
      <c r="C9" s="12"/>
    </row>
    <row r="10" customFormat="false" ht="15" hidden="false" customHeight="false" outlineLevel="0" collapsed="false">
      <c r="A10" s="13" t="s">
        <v>9</v>
      </c>
      <c r="B10" s="6" t="n">
        <f aca="false">B11+B12</f>
        <v>0</v>
      </c>
      <c r="C10" s="6" t="n">
        <f aca="false">C11+C12</f>
        <v>0</v>
      </c>
    </row>
    <row r="11" customFormat="false" ht="15" hidden="false" customHeight="false" outlineLevel="0" collapsed="false">
      <c r="A11" s="13" t="s">
        <v>10</v>
      </c>
      <c r="B11" s="6"/>
      <c r="C11" s="14"/>
    </row>
    <row r="12" customFormat="false" ht="15" hidden="false" customHeight="false" outlineLevel="0" collapsed="false">
      <c r="A12" s="13" t="s">
        <v>11</v>
      </c>
      <c r="B12" s="6"/>
      <c r="C12" s="14"/>
    </row>
    <row r="13" customFormat="false" ht="15" hidden="false" customHeight="false" outlineLevel="0" collapsed="false">
      <c r="A13" s="11" t="s">
        <v>12</v>
      </c>
      <c r="B13" s="5" t="n">
        <f aca="false">B14+B15</f>
        <v>0</v>
      </c>
      <c r="C13" s="5" t="n">
        <f aca="false">C14+C15</f>
        <v>0</v>
      </c>
    </row>
    <row r="14" customFormat="false" ht="15" hidden="false" customHeight="false" outlineLevel="0" collapsed="false">
      <c r="A14" s="15" t="s">
        <v>10</v>
      </c>
      <c r="B14" s="16"/>
      <c r="C14" s="17"/>
    </row>
    <row r="15" customFormat="false" ht="15" hidden="false" customHeight="false" outlineLevel="0" collapsed="false">
      <c r="A15" s="15" t="s">
        <v>11</v>
      </c>
      <c r="B15" s="16"/>
      <c r="C15" s="17"/>
    </row>
    <row r="16" customFormat="false" ht="15.75" hidden="false" customHeight="true" outlineLevel="0" collapsed="false">
      <c r="A16" s="18" t="s">
        <v>13</v>
      </c>
      <c r="B16" s="19" t="n">
        <f aca="false">B13+B10+B9</f>
        <v>0</v>
      </c>
      <c r="C16" s="20" t="n">
        <f aca="false">C13+C10+C9</f>
        <v>0</v>
      </c>
    </row>
    <row r="18" customFormat="false" ht="15.75" hidden="false" customHeight="true" outlineLevel="0" collapsed="false">
      <c r="A18" s="7" t="s">
        <v>14</v>
      </c>
    </row>
    <row r="19" customFormat="false" ht="15" hidden="false" customHeight="false" outlineLevel="0" collapsed="false">
      <c r="A19" s="8"/>
      <c r="B19" s="9" t="s">
        <v>6</v>
      </c>
      <c r="C19" s="10" t="s">
        <v>7</v>
      </c>
    </row>
    <row r="20" customFormat="false" ht="15" hidden="false" customHeight="false" outlineLevel="0" collapsed="false">
      <c r="A20" s="11" t="s">
        <v>15</v>
      </c>
      <c r="B20" s="5"/>
      <c r="C20" s="12"/>
    </row>
    <row r="21" customFormat="false" ht="15" hidden="false" customHeight="false" outlineLevel="0" collapsed="false">
      <c r="A21" s="13" t="s">
        <v>16</v>
      </c>
      <c r="B21" s="6" t="n">
        <f aca="false">B22+B23</f>
        <v>0</v>
      </c>
      <c r="C21" s="6" t="n">
        <f aca="false">C22+C23</f>
        <v>0</v>
      </c>
    </row>
    <row r="22" customFormat="false" ht="15" hidden="false" customHeight="false" outlineLevel="0" collapsed="false">
      <c r="A22" s="13" t="s">
        <v>10</v>
      </c>
      <c r="B22" s="6"/>
      <c r="C22" s="14"/>
    </row>
    <row r="23" customFormat="false" ht="15" hidden="false" customHeight="false" outlineLevel="0" collapsed="false">
      <c r="A23" s="13" t="s">
        <v>11</v>
      </c>
      <c r="B23" s="6"/>
      <c r="C23" s="14"/>
    </row>
    <row r="24" customFormat="false" ht="15" hidden="false" customHeight="false" outlineLevel="0" collapsed="false">
      <c r="A24" s="11" t="s">
        <v>17</v>
      </c>
      <c r="B24" s="5" t="n">
        <f aca="false">B25+B26</f>
        <v>0</v>
      </c>
      <c r="C24" s="5" t="n">
        <f aca="false">C25+C26</f>
        <v>0</v>
      </c>
    </row>
    <row r="25" customFormat="false" ht="15" hidden="false" customHeight="false" outlineLevel="0" collapsed="false">
      <c r="A25" s="15" t="s">
        <v>10</v>
      </c>
      <c r="B25" s="16"/>
      <c r="C25" s="17"/>
    </row>
    <row r="26" customFormat="false" ht="15" hidden="false" customHeight="false" outlineLevel="0" collapsed="false">
      <c r="A26" s="15" t="s">
        <v>11</v>
      </c>
      <c r="B26" s="16"/>
      <c r="C26" s="17"/>
    </row>
    <row r="27" customFormat="false" ht="15.75" hidden="false" customHeight="true" outlineLevel="0" collapsed="false">
      <c r="A27" s="18" t="s">
        <v>13</v>
      </c>
      <c r="B27" s="19" t="n">
        <f aca="false">B24+B21+B20</f>
        <v>0</v>
      </c>
      <c r="C27" s="20" t="n">
        <f aca="false">C24+C21+C20</f>
        <v>0</v>
      </c>
    </row>
    <row r="30" customFormat="false" ht="15.75" hidden="false" customHeight="true" outlineLevel="0" collapsed="false">
      <c r="A30" s="7" t="s">
        <v>18</v>
      </c>
    </row>
    <row r="31" customFormat="false" ht="15" hidden="false" customHeight="false" outlineLevel="0" collapsed="false">
      <c r="A31" s="8"/>
      <c r="B31" s="9" t="s">
        <v>6</v>
      </c>
      <c r="C31" s="10" t="s">
        <v>7</v>
      </c>
    </row>
    <row r="32" customFormat="false" ht="15.75" hidden="false" customHeight="true" outlineLevel="0" collapsed="false">
      <c r="A32" s="21" t="s">
        <v>19</v>
      </c>
      <c r="B32" s="22"/>
      <c r="C32" s="23"/>
    </row>
    <row r="35" customFormat="false" ht="15.75" hidden="false" customHeight="true" outlineLevel="0" collapsed="false">
      <c r="A35" s="7" t="s">
        <v>20</v>
      </c>
    </row>
    <row r="36" customFormat="false" ht="15" hidden="false" customHeight="false" outlineLevel="0" collapsed="false">
      <c r="A36" s="8"/>
      <c r="B36" s="9" t="s">
        <v>6</v>
      </c>
      <c r="C36" s="10" t="s">
        <v>7</v>
      </c>
    </row>
    <row r="37" customFormat="false" ht="15" hidden="false" customHeight="false" outlineLevel="0" collapsed="false">
      <c r="A37" s="11" t="s">
        <v>21</v>
      </c>
      <c r="B37" s="5"/>
      <c r="C37" s="12"/>
    </row>
    <row r="38" customFormat="false" ht="15" hidden="false" customHeight="false" outlineLevel="0" collapsed="false">
      <c r="A38" s="13" t="s">
        <v>22</v>
      </c>
      <c r="B38" s="6" t="n">
        <f aca="false">B39+B40</f>
        <v>0</v>
      </c>
      <c r="C38" s="14" t="n">
        <f aca="false">C39+C40</f>
        <v>0</v>
      </c>
    </row>
    <row r="39" customFormat="false" ht="15" hidden="false" customHeight="false" outlineLevel="0" collapsed="false">
      <c r="A39" s="13" t="s">
        <v>23</v>
      </c>
      <c r="B39" s="6"/>
      <c r="C39" s="14"/>
    </row>
    <row r="40" customFormat="false" ht="15" hidden="false" customHeight="false" outlineLevel="0" collapsed="false">
      <c r="A40" s="13" t="s">
        <v>24</v>
      </c>
      <c r="B40" s="6"/>
      <c r="C40" s="14"/>
    </row>
    <row r="41" customFormat="false" ht="15" hidden="false" customHeight="false" outlineLevel="0" collapsed="false">
      <c r="A41" s="11" t="s">
        <v>25</v>
      </c>
      <c r="B41" s="5" t="n">
        <f aca="false">B42+B43</f>
        <v>0</v>
      </c>
      <c r="C41" s="12" t="n">
        <f aca="false">C42+C43</f>
        <v>0</v>
      </c>
    </row>
    <row r="42" customFormat="false" ht="15" hidden="false" customHeight="false" outlineLevel="0" collapsed="false">
      <c r="A42" s="11" t="s">
        <v>23</v>
      </c>
      <c r="B42" s="16"/>
      <c r="C42" s="17"/>
    </row>
    <row r="43" customFormat="false" ht="15" hidden="false" customHeight="false" outlineLevel="0" collapsed="false">
      <c r="A43" s="11" t="s">
        <v>24</v>
      </c>
      <c r="B43" s="16"/>
      <c r="C43" s="17"/>
    </row>
    <row r="44" customFormat="false" ht="15.75" hidden="false" customHeight="true" outlineLevel="0" collapsed="false">
      <c r="A44" s="24" t="s">
        <v>13</v>
      </c>
      <c r="B44" s="22" t="n">
        <f aca="false">B41+B38+B37</f>
        <v>0</v>
      </c>
      <c r="C44" s="23" t="n">
        <f aca="false">C41+C38+C37</f>
        <v>0</v>
      </c>
    </row>
    <row r="47" customFormat="false" ht="15.75" hidden="false" customHeight="true" outlineLevel="0" collapsed="false">
      <c r="A47" s="7" t="s">
        <v>26</v>
      </c>
    </row>
    <row r="48" customFormat="false" ht="15" hidden="false" customHeight="false" outlineLevel="0" collapsed="false">
      <c r="A48" s="8"/>
      <c r="B48" s="9" t="s">
        <v>6</v>
      </c>
      <c r="C48" s="10" t="s">
        <v>7</v>
      </c>
    </row>
    <row r="49" customFormat="false" ht="15.75" hidden="false" customHeight="true" outlineLevel="0" collapsed="false">
      <c r="A49" s="21" t="s">
        <v>27</v>
      </c>
      <c r="B49" s="22"/>
      <c r="C49" s="23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47.29"/>
    <col collapsed="false" customWidth="true" hidden="false" outlineLevel="0" max="3" min="2" style="1" width="17.71"/>
  </cols>
  <sheetData>
    <row r="1" customFormat="false" ht="42" hidden="false" customHeight="true" outlineLevel="0" collapsed="false">
      <c r="A1" s="2" t="s">
        <v>28</v>
      </c>
      <c r="B1" s="2"/>
      <c r="C1" s="2"/>
    </row>
    <row r="2" customFormat="false" ht="15" hidden="false" customHeight="false" outlineLevel="0" collapsed="false">
      <c r="A2" s="25" t="s">
        <v>29</v>
      </c>
      <c r="B2" s="25"/>
      <c r="C2" s="25"/>
    </row>
    <row r="3" customFormat="false" ht="15" hidden="false" customHeight="false" outlineLevel="0" collapsed="false">
      <c r="A3" s="26" t="s">
        <v>1</v>
      </c>
      <c r="B3" s="27"/>
      <c r="C3" s="28"/>
    </row>
    <row r="4" customFormat="false" ht="15.75" hidden="false" customHeight="true" outlineLevel="0" collapsed="false">
      <c r="A4" s="29" t="s">
        <v>30</v>
      </c>
      <c r="B4" s="30"/>
      <c r="C4" s="31"/>
    </row>
    <row r="5" customFormat="false" ht="15.75" hidden="false" customHeight="true" outlineLevel="0" collapsed="false">
      <c r="A5" s="32" t="s">
        <v>31</v>
      </c>
      <c r="B5" s="33" t="s">
        <v>32</v>
      </c>
      <c r="C5" s="33"/>
    </row>
    <row r="6" customFormat="false" ht="15.75" hidden="false" customHeight="true" outlineLevel="0" collapsed="false">
      <c r="A6" s="34"/>
      <c r="B6" s="35" t="s">
        <v>6</v>
      </c>
      <c r="C6" s="36" t="s">
        <v>33</v>
      </c>
    </row>
    <row r="7" customFormat="false" ht="15" hidden="false" customHeight="false" outlineLevel="0" collapsed="false">
      <c r="A7" s="37" t="s">
        <v>34</v>
      </c>
      <c r="B7" s="38" t="n">
        <f aca="false">B14+B32</f>
        <v>0</v>
      </c>
      <c r="C7" s="39" t="n">
        <f aca="false">C14+C32</f>
        <v>0</v>
      </c>
    </row>
    <row r="8" customFormat="false" ht="15" hidden="false" customHeight="false" outlineLevel="0" collapsed="false">
      <c r="A8" s="40" t="s">
        <v>35</v>
      </c>
      <c r="B8" s="41" t="n">
        <f aca="false">B21+B41</f>
        <v>0</v>
      </c>
      <c r="C8" s="42" t="n">
        <f aca="false">C21+C41</f>
        <v>0</v>
      </c>
    </row>
    <row r="9" customFormat="false" ht="15.75" hidden="false" customHeight="true" outlineLevel="0" collapsed="false">
      <c r="A9" s="43"/>
      <c r="B9" s="44"/>
      <c r="C9" s="45"/>
    </row>
    <row r="10" customFormat="false" ht="15.75" hidden="false" customHeight="true" outlineLevel="0" collapsed="false">
      <c r="A10" s="46" t="s">
        <v>36</v>
      </c>
      <c r="B10" s="47" t="n">
        <v>0</v>
      </c>
      <c r="C10" s="48" t="n">
        <v>0</v>
      </c>
    </row>
    <row r="11" customFormat="false" ht="15.75" hidden="false" customHeight="true" outlineLevel="0" collapsed="false">
      <c r="A11" s="43"/>
      <c r="C11" s="49"/>
    </row>
    <row r="12" customFormat="false" ht="15.75" hidden="false" customHeight="true" outlineLevel="0" collapsed="false">
      <c r="A12" s="50" t="s">
        <v>37</v>
      </c>
      <c r="B12" s="51"/>
      <c r="C12" s="51"/>
    </row>
    <row r="13" customFormat="false" ht="15.75" hidden="false" customHeight="true" outlineLevel="0" collapsed="false">
      <c r="A13" s="34"/>
      <c r="B13" s="52" t="s">
        <v>6</v>
      </c>
      <c r="C13" s="53" t="s">
        <v>33</v>
      </c>
    </row>
    <row r="14" customFormat="false" ht="15" hidden="false" customHeight="false" outlineLevel="0" collapsed="false">
      <c r="A14" s="37" t="s">
        <v>34</v>
      </c>
      <c r="B14" s="38" t="n">
        <f aca="false">SUM(B15:B20)</f>
        <v>0</v>
      </c>
      <c r="C14" s="38" t="n">
        <f aca="false">SUM(C15:C20)</f>
        <v>0</v>
      </c>
    </row>
    <row r="15" customFormat="false" ht="15" hidden="false" customHeight="false" outlineLevel="0" collapsed="false">
      <c r="A15" s="54" t="s">
        <v>38</v>
      </c>
      <c r="B15" s="55"/>
      <c r="C15" s="56"/>
    </row>
    <row r="16" customFormat="false" ht="15" hidden="false" customHeight="false" outlineLevel="0" collapsed="false">
      <c r="A16" s="54" t="s">
        <v>39</v>
      </c>
      <c r="B16" s="55"/>
      <c r="C16" s="56"/>
    </row>
    <row r="17" customFormat="false" ht="15" hidden="false" customHeight="false" outlineLevel="0" collapsed="false">
      <c r="A17" s="54" t="s">
        <v>40</v>
      </c>
      <c r="B17" s="55"/>
      <c r="C17" s="56"/>
    </row>
    <row r="18" customFormat="false" ht="15" hidden="false" customHeight="false" outlineLevel="0" collapsed="false">
      <c r="A18" s="54" t="s">
        <v>41</v>
      </c>
      <c r="B18" s="55"/>
      <c r="C18" s="56"/>
    </row>
    <row r="19" customFormat="false" ht="15" hidden="false" customHeight="false" outlineLevel="0" collapsed="false">
      <c r="A19" s="54" t="s">
        <v>42</v>
      </c>
      <c r="B19" s="55"/>
      <c r="C19" s="56"/>
    </row>
    <row r="20" customFormat="false" ht="15.75" hidden="false" customHeight="true" outlineLevel="0" collapsed="false">
      <c r="A20" s="57" t="s">
        <v>43</v>
      </c>
      <c r="B20" s="58"/>
      <c r="C20" s="59"/>
    </row>
    <row r="21" customFormat="false" ht="15.75" hidden="false" customHeight="true" outlineLevel="0" collapsed="false">
      <c r="A21" s="60" t="s">
        <v>35</v>
      </c>
      <c r="B21" s="61" t="n">
        <f aca="false">SUM(B22:B27)</f>
        <v>0</v>
      </c>
      <c r="C21" s="61" t="n">
        <f aca="false">SUM(C22:C27)</f>
        <v>0</v>
      </c>
    </row>
    <row r="22" customFormat="false" ht="15" hidden="false" customHeight="false" outlineLevel="0" collapsed="false">
      <c r="A22" s="62" t="s">
        <v>38</v>
      </c>
      <c r="B22" s="41"/>
      <c r="C22" s="63"/>
    </row>
    <row r="23" customFormat="false" ht="15" hidden="false" customHeight="false" outlineLevel="0" collapsed="false">
      <c r="A23" s="62" t="s">
        <v>39</v>
      </c>
      <c r="B23" s="41"/>
      <c r="C23" s="63"/>
    </row>
    <row r="24" customFormat="false" ht="15" hidden="false" customHeight="false" outlineLevel="0" collapsed="false">
      <c r="A24" s="62" t="s">
        <v>40</v>
      </c>
      <c r="B24" s="41"/>
      <c r="C24" s="63"/>
    </row>
    <row r="25" customFormat="false" ht="15" hidden="false" customHeight="false" outlineLevel="0" collapsed="false">
      <c r="A25" s="62" t="s">
        <v>41</v>
      </c>
      <c r="B25" s="41"/>
      <c r="C25" s="63"/>
    </row>
    <row r="26" customFormat="false" ht="15" hidden="false" customHeight="false" outlineLevel="0" collapsed="false">
      <c r="A26" s="62" t="s">
        <v>42</v>
      </c>
      <c r="B26" s="41"/>
      <c r="C26" s="63"/>
    </row>
    <row r="27" customFormat="false" ht="15.75" hidden="false" customHeight="true" outlineLevel="0" collapsed="false">
      <c r="A27" s="64" t="s">
        <v>43</v>
      </c>
      <c r="B27" s="65"/>
      <c r="C27" s="66"/>
    </row>
    <row r="28" customFormat="false" ht="16.5" hidden="false" customHeight="true" outlineLevel="0" collapsed="false">
      <c r="A28" s="67" t="s">
        <v>36</v>
      </c>
      <c r="B28" s="68" t="n">
        <v>0</v>
      </c>
      <c r="C28" s="69" t="n">
        <v>0</v>
      </c>
    </row>
    <row r="29" customFormat="false" ht="15.75" hidden="false" customHeight="true" outlineLevel="0" collapsed="false">
      <c r="A29" s="43"/>
      <c r="C29" s="49"/>
    </row>
    <row r="30" customFormat="false" ht="15.75" hidden="false" customHeight="true" outlineLevel="0" collapsed="false">
      <c r="A30" s="70" t="s">
        <v>44</v>
      </c>
      <c r="B30" s="71"/>
      <c r="C30" s="71"/>
    </row>
    <row r="31" customFormat="false" ht="15.75" hidden="false" customHeight="true" outlineLevel="0" collapsed="false">
      <c r="A31" s="72"/>
      <c r="B31" s="52" t="s">
        <v>6</v>
      </c>
      <c r="C31" s="53" t="s">
        <v>33</v>
      </c>
    </row>
    <row r="32" customFormat="false" ht="15.75" hidden="false" customHeight="true" outlineLevel="0" collapsed="false">
      <c r="A32" s="73" t="s">
        <v>34</v>
      </c>
      <c r="B32" s="74"/>
      <c r="C32" s="75"/>
    </row>
    <row r="33" customFormat="false" ht="15.75" hidden="false" customHeight="true" outlineLevel="0" collapsed="false">
      <c r="A33" s="76" t="s">
        <v>45</v>
      </c>
      <c r="B33" s="77"/>
      <c r="C33" s="56"/>
    </row>
    <row r="34" customFormat="false" ht="15" hidden="false" customHeight="false" outlineLevel="0" collapsed="false">
      <c r="A34" s="78" t="s">
        <v>46</v>
      </c>
      <c r="B34" s="79"/>
      <c r="C34" s="80"/>
    </row>
    <row r="35" customFormat="false" ht="15" hidden="false" customHeight="false" outlineLevel="0" collapsed="false">
      <c r="A35" s="78" t="s">
        <v>47</v>
      </c>
      <c r="B35" s="79"/>
      <c r="C35" s="80"/>
    </row>
    <row r="36" customFormat="false" ht="15" hidden="false" customHeight="false" outlineLevel="0" collapsed="false">
      <c r="A36" s="78" t="s">
        <v>48</v>
      </c>
      <c r="B36" s="79"/>
      <c r="C36" s="80"/>
    </row>
    <row r="37" customFormat="false" ht="15" hidden="false" customHeight="false" outlineLevel="0" collapsed="false">
      <c r="A37" s="78" t="s">
        <v>49</v>
      </c>
      <c r="B37" s="79"/>
      <c r="C37" s="80"/>
    </row>
    <row r="38" customFormat="false" ht="15" hidden="false" customHeight="false" outlineLevel="0" collapsed="false">
      <c r="A38" s="78" t="s">
        <v>50</v>
      </c>
      <c r="B38" s="79"/>
      <c r="C38" s="80"/>
    </row>
    <row r="39" customFormat="false" ht="15" hidden="false" customHeight="false" outlineLevel="0" collapsed="false">
      <c r="A39" s="78" t="s">
        <v>51</v>
      </c>
      <c r="B39" s="79"/>
      <c r="C39" s="80"/>
    </row>
    <row r="40" customFormat="false" ht="15" hidden="false" customHeight="false" outlineLevel="0" collapsed="false">
      <c r="A40" s="78" t="s">
        <v>52</v>
      </c>
      <c r="B40" s="79"/>
      <c r="C40" s="80"/>
    </row>
    <row r="41" customFormat="false" ht="15.75" hidden="false" customHeight="true" outlineLevel="0" collapsed="false">
      <c r="A41" s="81" t="s">
        <v>35</v>
      </c>
      <c r="B41" s="82"/>
      <c r="C41" s="66"/>
    </row>
    <row r="42" customFormat="false" ht="15.75" hidden="false" customHeight="true" outlineLevel="0" collapsed="false">
      <c r="A42" s="83" t="s">
        <v>45</v>
      </c>
      <c r="B42" s="84"/>
      <c r="C42" s="85"/>
    </row>
    <row r="43" customFormat="false" ht="15" hidden="false" customHeight="false" outlineLevel="0" collapsed="false">
      <c r="A43" s="86" t="s">
        <v>46</v>
      </c>
      <c r="B43" s="87"/>
      <c r="C43" s="63"/>
    </row>
    <row r="44" customFormat="false" ht="15" hidden="false" customHeight="false" outlineLevel="0" collapsed="false">
      <c r="A44" s="86" t="s">
        <v>47</v>
      </c>
      <c r="B44" s="87"/>
      <c r="C44" s="63"/>
    </row>
    <row r="45" customFormat="false" ht="15" hidden="false" customHeight="false" outlineLevel="0" collapsed="false">
      <c r="A45" s="86" t="s">
        <v>53</v>
      </c>
      <c r="B45" s="87"/>
      <c r="C45" s="63"/>
    </row>
    <row r="46" customFormat="false" ht="15" hidden="false" customHeight="false" outlineLevel="0" collapsed="false">
      <c r="A46" s="86" t="s">
        <v>49</v>
      </c>
      <c r="B46" s="87"/>
      <c r="C46" s="63"/>
    </row>
    <row r="47" customFormat="false" ht="15" hidden="false" customHeight="false" outlineLevel="0" collapsed="false">
      <c r="A47" s="86" t="s">
        <v>50</v>
      </c>
      <c r="B47" s="87"/>
      <c r="C47" s="63"/>
    </row>
    <row r="48" customFormat="false" ht="15" hidden="false" customHeight="false" outlineLevel="0" collapsed="false">
      <c r="A48" s="86" t="s">
        <v>51</v>
      </c>
      <c r="B48" s="87"/>
      <c r="C48" s="63"/>
    </row>
    <row r="49" customFormat="false" ht="15.75" hidden="false" customHeight="true" outlineLevel="0" collapsed="false">
      <c r="A49" s="88" t="s">
        <v>52</v>
      </c>
      <c r="B49" s="82"/>
      <c r="C49" s="66"/>
    </row>
    <row r="50" customFormat="false" ht="16.5" hidden="false" customHeight="true" outlineLevel="0" collapsed="false">
      <c r="A50" s="89" t="s">
        <v>36</v>
      </c>
      <c r="B50" s="90" t="n">
        <v>0</v>
      </c>
      <c r="C50" s="69" t="n">
        <v>0</v>
      </c>
    </row>
  </sheetData>
  <mergeCells count="5">
    <mergeCell ref="A1:C1"/>
    <mergeCell ref="A2:C2"/>
    <mergeCell ref="B5:C5"/>
    <mergeCell ref="B12:C12"/>
    <mergeCell ref="B30:C30"/>
  </mergeCells>
  <printOptions headings="false" gridLines="false" gridLinesSet="true" horizontalCentered="false" verticalCentered="false"/>
  <pageMargins left="0.708333333333333" right="0.708333333333333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51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R37" activeCellId="0" sqref="R37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78"/>
    <col collapsed="false" customWidth="true" hidden="false" outlineLevel="0" max="11" min="2" style="1" width="20.42"/>
    <col collapsed="false" customWidth="true" hidden="false" outlineLevel="0" max="12" min="12" style="1" width="16.57"/>
    <col collapsed="false" customWidth="true" hidden="false" outlineLevel="0" max="13" min="13" style="1" width="20.85"/>
    <col collapsed="false" customWidth="true" hidden="false" outlineLevel="0" max="14" min="14" style="1" width="13.86"/>
    <col collapsed="false" customWidth="true" hidden="false" outlineLevel="0" max="16" min="15" style="1" width="25"/>
    <col collapsed="false" customWidth="true" hidden="false" outlineLevel="0" max="19" min="17" style="1" width="18.57"/>
  </cols>
  <sheetData>
    <row r="1" customFormat="false" ht="18.75" hidden="false" customHeight="true" outlineLevel="0" collapsed="false">
      <c r="A1" s="91" t="s">
        <v>54</v>
      </c>
      <c r="B1" s="91"/>
      <c r="C1" s="91"/>
      <c r="D1" s="91"/>
      <c r="E1" s="91"/>
    </row>
    <row r="2" customFormat="false" ht="19.5" hidden="false" customHeight="true" outlineLevel="0" collapsed="false">
      <c r="A2" s="29" t="s">
        <v>1</v>
      </c>
      <c r="B2" s="92"/>
      <c r="C2" s="92"/>
      <c r="D2" s="92"/>
      <c r="E2" s="92"/>
    </row>
    <row r="3" customFormat="false" ht="18.75" hidden="false" customHeight="true" outlineLevel="0" collapsed="false">
      <c r="A3" s="26" t="s">
        <v>55</v>
      </c>
      <c r="B3" s="92"/>
      <c r="C3" s="92"/>
      <c r="D3" s="92"/>
      <c r="E3" s="92"/>
    </row>
    <row r="4" customFormat="false" ht="19.5" hidden="false" customHeight="true" outlineLevel="0" collapsed="false">
      <c r="A4" s="93" t="s">
        <v>56</v>
      </c>
      <c r="B4" s="94" t="n">
        <v>45658</v>
      </c>
      <c r="C4" s="94" t="n">
        <v>45689</v>
      </c>
      <c r="D4" s="94" t="n">
        <v>45717</v>
      </c>
      <c r="E4" s="94" t="n">
        <v>45748</v>
      </c>
      <c r="F4" s="94" t="n">
        <v>45778</v>
      </c>
      <c r="G4" s="94" t="n">
        <v>45809</v>
      </c>
      <c r="H4" s="94" t="n">
        <v>45839</v>
      </c>
      <c r="I4" s="94" t="n">
        <v>45870</v>
      </c>
      <c r="J4" s="94" t="n">
        <v>45901</v>
      </c>
      <c r="K4" s="94" t="n">
        <v>45931</v>
      </c>
      <c r="L4" s="94" t="n">
        <v>45962</v>
      </c>
      <c r="M4" s="94" t="n">
        <v>45992</v>
      </c>
      <c r="N4" s="94" t="n">
        <v>46023</v>
      </c>
      <c r="O4" s="94" t="n">
        <v>46054</v>
      </c>
      <c r="P4" s="94" t="n">
        <v>46082</v>
      </c>
      <c r="Q4" s="94" t="n">
        <v>46113</v>
      </c>
      <c r="R4" s="94" t="n">
        <v>46143</v>
      </c>
      <c r="S4" s="94" t="n">
        <v>46174</v>
      </c>
    </row>
    <row r="5" customFormat="false" ht="17.25" hidden="false" customHeight="true" outlineLevel="0" collapsed="false">
      <c r="A5" s="95" t="s">
        <v>57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7"/>
      <c r="N5" s="96"/>
      <c r="O5" s="96"/>
      <c r="P5" s="96"/>
      <c r="Q5" s="96"/>
      <c r="R5" s="96"/>
      <c r="S5" s="96"/>
    </row>
    <row r="6" customFormat="false" ht="33" hidden="false" customHeight="true" outlineLevel="0" collapsed="false">
      <c r="A6" s="98" t="s">
        <v>58</v>
      </c>
      <c r="B6" s="99" t="n">
        <v>10154441425</v>
      </c>
      <c r="C6" s="99" t="n">
        <v>10154441425</v>
      </c>
      <c r="D6" s="99" t="n">
        <v>10154441425</v>
      </c>
      <c r="E6" s="99" t="n">
        <v>10154441425</v>
      </c>
      <c r="F6" s="99" t="n">
        <v>10154441425</v>
      </c>
      <c r="G6" s="99" t="n">
        <v>10154441425</v>
      </c>
      <c r="H6" s="99" t="n">
        <v>10154441425</v>
      </c>
      <c r="I6" s="99" t="n">
        <v>15086327990</v>
      </c>
      <c r="J6" s="99" t="n">
        <v>15086327990</v>
      </c>
      <c r="K6" s="99" t="n">
        <v>15086327990</v>
      </c>
      <c r="L6" s="100" t="n">
        <v>15192664163</v>
      </c>
      <c r="M6" s="101" t="n">
        <v>13175571805</v>
      </c>
      <c r="N6" s="102" t="s">
        <v>59</v>
      </c>
      <c r="O6" s="103" t="n">
        <v>19144002809</v>
      </c>
      <c r="P6" s="103" t="n">
        <v>19583585321</v>
      </c>
      <c r="Q6" s="102" t="n">
        <v>19583585321</v>
      </c>
      <c r="R6" s="102" t="n">
        <v>14621281997</v>
      </c>
      <c r="S6" s="102" t="n">
        <v>14621281997</v>
      </c>
    </row>
    <row r="7" customFormat="false" ht="18" hidden="false" customHeight="true" outlineLevel="0" collapsed="false">
      <c r="A7" s="104" t="s">
        <v>60</v>
      </c>
      <c r="B7" s="105" t="n">
        <v>783654</v>
      </c>
      <c r="C7" s="105" t="n">
        <v>880933</v>
      </c>
      <c r="D7" s="105" t="n">
        <v>762687</v>
      </c>
      <c r="E7" s="105" t="n">
        <v>1146327</v>
      </c>
      <c r="F7" s="105" t="n">
        <v>747258</v>
      </c>
      <c r="G7" s="105" t="n">
        <v>935626</v>
      </c>
      <c r="H7" s="105" t="n">
        <v>1249156</v>
      </c>
      <c r="I7" s="105" t="n">
        <v>842167</v>
      </c>
      <c r="J7" s="105" t="n">
        <v>1169637</v>
      </c>
      <c r="K7" s="105" t="n">
        <v>1201180</v>
      </c>
      <c r="L7" s="105" t="n">
        <v>1063731</v>
      </c>
      <c r="M7" s="105" t="n">
        <v>1232671</v>
      </c>
      <c r="N7" s="106"/>
      <c r="O7" s="106"/>
      <c r="P7" s="106"/>
      <c r="Q7" s="106"/>
      <c r="R7" s="106"/>
      <c r="S7" s="106"/>
    </row>
    <row r="8" customFormat="false" ht="18" hidden="false" customHeight="true" outlineLevel="0" collapsed="false">
      <c r="A8" s="104" t="s">
        <v>61</v>
      </c>
      <c r="B8" s="107" t="n">
        <v>412633</v>
      </c>
      <c r="C8" s="107" t="n">
        <v>427872</v>
      </c>
      <c r="D8" s="107" t="n">
        <v>435368</v>
      </c>
      <c r="E8" s="107" t="n">
        <v>310419</v>
      </c>
      <c r="F8" s="107" t="n">
        <v>424125</v>
      </c>
      <c r="G8" s="107" t="n">
        <v>415154</v>
      </c>
      <c r="H8" s="107" t="n">
        <v>456744</v>
      </c>
      <c r="I8" s="107" t="n">
        <v>471596</v>
      </c>
      <c r="J8" s="107" t="n">
        <v>500798</v>
      </c>
      <c r="K8" s="107" t="n">
        <v>367629</v>
      </c>
      <c r="L8" s="107" t="n">
        <v>505413</v>
      </c>
      <c r="M8" s="107" t="n">
        <v>359593</v>
      </c>
      <c r="N8" s="106"/>
      <c r="O8" s="106"/>
      <c r="P8" s="106"/>
      <c r="Q8" s="106"/>
      <c r="R8" s="106"/>
      <c r="S8" s="106"/>
    </row>
    <row r="9" customFormat="false" ht="18" hidden="false" customHeight="true" outlineLevel="0" collapsed="false">
      <c r="A9" s="95" t="s">
        <v>62</v>
      </c>
      <c r="B9" s="108" t="n">
        <v>18725</v>
      </c>
      <c r="C9" s="109" t="n">
        <v>20515</v>
      </c>
      <c r="D9" s="109" t="n">
        <v>39020</v>
      </c>
      <c r="E9" s="109" t="n">
        <v>22533</v>
      </c>
      <c r="F9" s="109" t="n">
        <v>30400</v>
      </c>
      <c r="G9" s="109" t="n">
        <v>35507</v>
      </c>
      <c r="H9" s="109" t="n">
        <v>28658</v>
      </c>
      <c r="I9" s="109" t="n">
        <v>28395</v>
      </c>
      <c r="J9" s="109" t="n">
        <v>31082</v>
      </c>
      <c r="K9" s="109" t="n">
        <v>23725</v>
      </c>
      <c r="L9" s="109" t="n">
        <v>44472</v>
      </c>
      <c r="M9" s="110" t="n">
        <v>56364</v>
      </c>
      <c r="N9" s="106"/>
      <c r="O9" s="106"/>
      <c r="P9" s="106"/>
      <c r="Q9" s="106"/>
      <c r="R9" s="106"/>
      <c r="S9" s="106"/>
    </row>
    <row r="10" customFormat="false" ht="18" hidden="false" customHeight="true" outlineLevel="0" collapsed="false">
      <c r="A10" s="104" t="s">
        <v>63</v>
      </c>
      <c r="B10" s="108" t="n">
        <v>18725</v>
      </c>
      <c r="C10" s="109" t="n">
        <v>20515</v>
      </c>
      <c r="D10" s="109" t="n">
        <v>39020</v>
      </c>
      <c r="E10" s="109" t="n">
        <v>22533</v>
      </c>
      <c r="F10" s="109" t="n">
        <v>30400</v>
      </c>
      <c r="G10" s="109" t="n">
        <v>35507</v>
      </c>
      <c r="H10" s="109" t="n">
        <v>28658</v>
      </c>
      <c r="I10" s="109" t="n">
        <v>28395</v>
      </c>
      <c r="J10" s="109" t="n">
        <v>31082</v>
      </c>
      <c r="K10" s="109" t="n">
        <v>23725</v>
      </c>
      <c r="L10" s="109" t="n">
        <v>44472</v>
      </c>
      <c r="M10" s="110" t="n">
        <v>56364</v>
      </c>
      <c r="N10" s="106"/>
      <c r="O10" s="106"/>
      <c r="P10" s="106"/>
      <c r="Q10" s="106"/>
      <c r="R10" s="106"/>
      <c r="S10" s="106"/>
    </row>
    <row r="11" customFormat="false" ht="17.25" hidden="false" customHeight="true" outlineLevel="0" collapsed="false">
      <c r="A11" s="95" t="s">
        <v>64</v>
      </c>
      <c r="B11" s="111" t="n">
        <v>0</v>
      </c>
      <c r="C11" s="111" t="n">
        <v>0</v>
      </c>
      <c r="D11" s="111" t="n">
        <v>0</v>
      </c>
      <c r="E11" s="111" t="n">
        <v>0</v>
      </c>
      <c r="F11" s="111" t="n">
        <v>0</v>
      </c>
      <c r="G11" s="111" t="n">
        <v>0</v>
      </c>
      <c r="H11" s="111" t="n">
        <v>0</v>
      </c>
      <c r="I11" s="111" t="n">
        <v>0</v>
      </c>
      <c r="J11" s="111" t="n">
        <v>0</v>
      </c>
      <c r="K11" s="111" t="n">
        <v>0</v>
      </c>
      <c r="L11" s="111" t="n">
        <v>0</v>
      </c>
      <c r="M11" s="112" t="n">
        <v>0</v>
      </c>
      <c r="N11" s="106" t="n">
        <v>0</v>
      </c>
      <c r="O11" s="106" t="n">
        <v>0</v>
      </c>
      <c r="P11" s="106" t="n">
        <v>0</v>
      </c>
      <c r="Q11" s="106" t="n">
        <v>0</v>
      </c>
      <c r="R11" s="106" t="n">
        <v>0</v>
      </c>
      <c r="S11" s="106" t="n">
        <v>0</v>
      </c>
    </row>
    <row r="12" customFormat="false" ht="17.25" hidden="false" customHeight="true" outlineLevel="0" collapsed="false">
      <c r="A12" s="95" t="s">
        <v>65</v>
      </c>
      <c r="B12" s="106" t="n">
        <v>0</v>
      </c>
      <c r="C12" s="106" t="n">
        <v>0</v>
      </c>
      <c r="D12" s="106" t="n">
        <v>0</v>
      </c>
      <c r="E12" s="106" t="n">
        <v>0</v>
      </c>
      <c r="F12" s="106" t="n">
        <v>0</v>
      </c>
      <c r="G12" s="106" t="n">
        <v>0</v>
      </c>
      <c r="H12" s="106" t="n">
        <v>0</v>
      </c>
      <c r="I12" s="106" t="n">
        <v>0</v>
      </c>
      <c r="J12" s="106" t="n">
        <v>0</v>
      </c>
      <c r="K12" s="106" t="n">
        <v>0</v>
      </c>
      <c r="L12" s="106" t="n">
        <v>0</v>
      </c>
      <c r="M12" s="113" t="n">
        <v>0</v>
      </c>
      <c r="N12" s="106" t="n">
        <v>0</v>
      </c>
      <c r="O12" s="106" t="n">
        <v>0</v>
      </c>
      <c r="P12" s="106" t="n">
        <v>0</v>
      </c>
      <c r="Q12" s="106" t="n">
        <v>0</v>
      </c>
      <c r="R12" s="106" t="n">
        <v>0</v>
      </c>
      <c r="S12" s="106" t="n">
        <v>0</v>
      </c>
    </row>
    <row r="13" customFormat="false" ht="17.25" hidden="false" customHeight="true" outlineLevel="0" collapsed="false">
      <c r="A13" s="95" t="s">
        <v>66</v>
      </c>
      <c r="B13" s="106" t="n">
        <v>0</v>
      </c>
      <c r="C13" s="106" t="n">
        <v>0</v>
      </c>
      <c r="D13" s="106" t="n">
        <v>0</v>
      </c>
      <c r="E13" s="106" t="n">
        <v>0</v>
      </c>
      <c r="F13" s="106" t="n">
        <v>0</v>
      </c>
      <c r="G13" s="106" t="n">
        <v>0</v>
      </c>
      <c r="H13" s="106" t="n">
        <v>0</v>
      </c>
      <c r="I13" s="106" t="n">
        <v>0</v>
      </c>
      <c r="J13" s="106" t="n">
        <v>0</v>
      </c>
      <c r="K13" s="106" t="n">
        <v>0</v>
      </c>
      <c r="L13" s="106" t="n">
        <v>0</v>
      </c>
      <c r="M13" s="113" t="n">
        <v>0</v>
      </c>
      <c r="N13" s="106" t="n">
        <v>0</v>
      </c>
      <c r="O13" s="106" t="n">
        <v>0</v>
      </c>
      <c r="P13" s="106" t="n">
        <v>0</v>
      </c>
      <c r="Q13" s="106" t="n">
        <v>0</v>
      </c>
      <c r="R13" s="106" t="n">
        <v>0</v>
      </c>
      <c r="S13" s="106" t="n">
        <v>0</v>
      </c>
      <c r="T13" s="96"/>
    </row>
    <row r="14" customFormat="false" ht="17.25" hidden="false" customHeight="true" outlineLevel="0" collapsed="false">
      <c r="A14" s="95" t="s">
        <v>67</v>
      </c>
      <c r="B14" s="106" t="n">
        <v>0</v>
      </c>
      <c r="C14" s="106" t="n">
        <v>0</v>
      </c>
      <c r="D14" s="106" t="n">
        <v>0</v>
      </c>
      <c r="E14" s="106" t="n">
        <v>0</v>
      </c>
      <c r="F14" s="106" t="n">
        <v>0</v>
      </c>
      <c r="G14" s="106" t="n">
        <v>0</v>
      </c>
      <c r="H14" s="106" t="n">
        <v>0</v>
      </c>
      <c r="I14" s="106" t="n">
        <v>0</v>
      </c>
      <c r="J14" s="106" t="n">
        <v>0</v>
      </c>
      <c r="K14" s="106" t="n">
        <v>0</v>
      </c>
      <c r="L14" s="106" t="n">
        <v>0</v>
      </c>
      <c r="M14" s="113" t="n">
        <v>0</v>
      </c>
      <c r="N14" s="106" t="n">
        <v>0</v>
      </c>
      <c r="O14" s="106" t="n">
        <v>0</v>
      </c>
      <c r="P14" s="106" t="n">
        <v>0</v>
      </c>
      <c r="Q14" s="106" t="n">
        <v>0</v>
      </c>
      <c r="R14" s="106" t="n">
        <v>0</v>
      </c>
      <c r="S14" s="106" t="n">
        <v>0</v>
      </c>
    </row>
    <row r="15" customFormat="false" ht="17.25" hidden="false" customHeight="true" outlineLevel="0" collapsed="false">
      <c r="A15" s="95" t="s">
        <v>68</v>
      </c>
      <c r="B15" s="106" t="n">
        <v>0</v>
      </c>
      <c r="C15" s="106" t="n">
        <v>0</v>
      </c>
      <c r="D15" s="106" t="n">
        <v>0</v>
      </c>
      <c r="E15" s="106" t="n">
        <v>0</v>
      </c>
      <c r="F15" s="106" t="n">
        <v>0</v>
      </c>
      <c r="G15" s="106" t="n">
        <v>0</v>
      </c>
      <c r="H15" s="106" t="n">
        <v>0</v>
      </c>
      <c r="I15" s="106" t="n">
        <v>0</v>
      </c>
      <c r="J15" s="106" t="n">
        <v>0</v>
      </c>
      <c r="K15" s="106" t="n">
        <v>0</v>
      </c>
      <c r="L15" s="106" t="n">
        <v>0</v>
      </c>
      <c r="M15" s="113" t="n">
        <v>0</v>
      </c>
      <c r="N15" s="106" t="n">
        <v>0</v>
      </c>
      <c r="O15" s="106" t="n">
        <v>0</v>
      </c>
      <c r="P15" s="106" t="n">
        <v>0</v>
      </c>
      <c r="Q15" s="106" t="n">
        <v>0</v>
      </c>
      <c r="R15" s="106" t="n">
        <v>0</v>
      </c>
      <c r="S15" s="106" t="n">
        <v>0</v>
      </c>
    </row>
    <row r="16" customFormat="false" ht="17.25" hidden="false" customHeight="true" outlineLevel="0" collapsed="false">
      <c r="A16" s="95" t="s">
        <v>69</v>
      </c>
      <c r="B16" s="106" t="n">
        <v>0</v>
      </c>
      <c r="C16" s="106" t="n">
        <v>0</v>
      </c>
      <c r="D16" s="106" t="n">
        <v>0</v>
      </c>
      <c r="E16" s="106" t="n">
        <v>0</v>
      </c>
      <c r="F16" s="106" t="n">
        <v>0</v>
      </c>
      <c r="G16" s="106" t="n">
        <v>0</v>
      </c>
      <c r="H16" s="106" t="n">
        <v>0</v>
      </c>
      <c r="I16" s="106" t="n">
        <v>0</v>
      </c>
      <c r="J16" s="106" t="n">
        <v>0</v>
      </c>
      <c r="K16" s="106" t="n">
        <v>0</v>
      </c>
      <c r="L16" s="106" t="n">
        <v>0</v>
      </c>
      <c r="M16" s="113" t="n">
        <v>0</v>
      </c>
      <c r="N16" s="106" t="n">
        <v>0</v>
      </c>
      <c r="O16" s="106" t="n">
        <v>0</v>
      </c>
      <c r="P16" s="106" t="n">
        <v>0</v>
      </c>
      <c r="Q16" s="106" t="n">
        <v>0</v>
      </c>
      <c r="R16" s="106" t="n">
        <v>0</v>
      </c>
      <c r="S16" s="106" t="n">
        <v>0</v>
      </c>
    </row>
    <row r="17" customFormat="false" ht="17.25" hidden="false" customHeight="true" outlineLevel="0" collapsed="false">
      <c r="A17" s="95" t="s">
        <v>70</v>
      </c>
      <c r="B17" s="106" t="n">
        <v>0</v>
      </c>
      <c r="C17" s="106" t="n">
        <v>0</v>
      </c>
      <c r="D17" s="106" t="n">
        <v>0</v>
      </c>
      <c r="E17" s="106" t="n">
        <v>0</v>
      </c>
      <c r="F17" s="106" t="n">
        <v>0</v>
      </c>
      <c r="G17" s="106" t="n">
        <v>0</v>
      </c>
      <c r="H17" s="106" t="n">
        <v>0</v>
      </c>
      <c r="I17" s="106" t="n">
        <v>0</v>
      </c>
      <c r="J17" s="106" t="n">
        <v>0</v>
      </c>
      <c r="K17" s="106" t="n">
        <v>0</v>
      </c>
      <c r="L17" s="106" t="n">
        <v>0</v>
      </c>
      <c r="M17" s="113" t="n">
        <v>0</v>
      </c>
      <c r="N17" s="106" t="n">
        <v>0</v>
      </c>
      <c r="O17" s="106" t="n">
        <v>0</v>
      </c>
      <c r="P17" s="106" t="n">
        <v>0</v>
      </c>
      <c r="Q17" s="106" t="n">
        <v>0</v>
      </c>
      <c r="R17" s="106" t="n">
        <v>0</v>
      </c>
      <c r="S17" s="106" t="n">
        <v>0</v>
      </c>
    </row>
    <row r="18" customFormat="false" ht="17.25" hidden="false" customHeight="true" outlineLevel="0" collapsed="false">
      <c r="A18" s="95" t="s">
        <v>71</v>
      </c>
      <c r="B18" s="106" t="n">
        <v>0</v>
      </c>
      <c r="C18" s="106" t="n">
        <v>0</v>
      </c>
      <c r="D18" s="106" t="n">
        <v>0</v>
      </c>
      <c r="E18" s="106" t="n">
        <v>0</v>
      </c>
      <c r="F18" s="106" t="n">
        <v>0</v>
      </c>
      <c r="G18" s="106" t="n">
        <v>0</v>
      </c>
      <c r="H18" s="106" t="n">
        <v>0</v>
      </c>
      <c r="I18" s="106" t="n">
        <v>0</v>
      </c>
      <c r="J18" s="106" t="n">
        <v>0</v>
      </c>
      <c r="K18" s="106" t="n">
        <v>0</v>
      </c>
      <c r="L18" s="106" t="n">
        <v>0</v>
      </c>
      <c r="M18" s="113" t="n">
        <v>0</v>
      </c>
      <c r="N18" s="106" t="n">
        <v>0</v>
      </c>
      <c r="O18" s="106" t="n">
        <v>0</v>
      </c>
      <c r="P18" s="106" t="n">
        <v>0</v>
      </c>
      <c r="Q18" s="106" t="n">
        <v>0</v>
      </c>
      <c r="R18" s="106" t="n">
        <v>0</v>
      </c>
      <c r="S18" s="106" t="n">
        <v>0</v>
      </c>
    </row>
    <row r="19" customFormat="false" ht="17.25" hidden="false" customHeight="true" outlineLevel="0" collapsed="false">
      <c r="A19" s="9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13"/>
      <c r="N19" s="106"/>
      <c r="O19" s="106"/>
      <c r="P19" s="106"/>
      <c r="Q19" s="106"/>
      <c r="R19" s="106"/>
      <c r="S19" s="106"/>
    </row>
    <row r="20" customFormat="false" ht="17.25" hidden="false" customHeight="true" outlineLevel="0" collapsed="false">
      <c r="A20" s="95" t="s">
        <v>72</v>
      </c>
      <c r="B20" s="106" t="n">
        <v>783654</v>
      </c>
      <c r="C20" s="106" t="n">
        <v>880933</v>
      </c>
      <c r="D20" s="106" t="n">
        <v>762687</v>
      </c>
      <c r="E20" s="106" t="n">
        <v>1146327</v>
      </c>
      <c r="F20" s="106" t="n">
        <v>632885</v>
      </c>
      <c r="G20" s="106" t="n">
        <v>935626</v>
      </c>
      <c r="H20" s="106" t="n">
        <v>1249156</v>
      </c>
      <c r="I20" s="106" t="n">
        <v>842167</v>
      </c>
      <c r="J20" s="106" t="n">
        <v>1169637</v>
      </c>
      <c r="K20" s="106" t="n">
        <v>1201180</v>
      </c>
      <c r="L20" s="106" t="n">
        <v>1063731</v>
      </c>
      <c r="M20" s="113" t="n">
        <v>1232671</v>
      </c>
      <c r="N20" s="106"/>
      <c r="O20" s="106"/>
      <c r="P20" s="106"/>
      <c r="Q20" s="106"/>
      <c r="R20" s="106"/>
      <c r="S20" s="106"/>
    </row>
    <row r="21" customFormat="false" ht="17.25" hidden="false" customHeight="true" outlineLevel="0" collapsed="false">
      <c r="A21" s="95" t="s">
        <v>73</v>
      </c>
      <c r="B21" s="106" t="n">
        <v>0</v>
      </c>
      <c r="C21" s="106" t="n">
        <v>0</v>
      </c>
      <c r="D21" s="106" t="n">
        <v>0</v>
      </c>
      <c r="E21" s="106" t="n">
        <v>0</v>
      </c>
      <c r="F21" s="106" t="n">
        <v>0</v>
      </c>
      <c r="G21" s="106" t="n">
        <v>0</v>
      </c>
      <c r="H21" s="106" t="n">
        <v>0</v>
      </c>
      <c r="I21" s="106" t="n">
        <v>0</v>
      </c>
      <c r="J21" s="106" t="n">
        <v>0</v>
      </c>
      <c r="K21" s="106" t="n">
        <v>0</v>
      </c>
      <c r="L21" s="106" t="n">
        <v>0</v>
      </c>
      <c r="M21" s="113" t="n">
        <v>0</v>
      </c>
      <c r="N21" s="106" t="n">
        <v>0</v>
      </c>
      <c r="O21" s="106" t="n">
        <v>0</v>
      </c>
      <c r="P21" s="106" t="n">
        <v>0</v>
      </c>
      <c r="Q21" s="106" t="n">
        <v>0</v>
      </c>
      <c r="R21" s="106" t="n">
        <v>0</v>
      </c>
      <c r="S21" s="106" t="n">
        <v>0</v>
      </c>
      <c r="T21" s="96"/>
    </row>
    <row r="22" customFormat="false" ht="33" hidden="false" customHeight="true" outlineLevel="0" collapsed="false">
      <c r="A22" s="95" t="s">
        <v>74</v>
      </c>
      <c r="B22" s="106" t="n">
        <v>1828546</v>
      </c>
      <c r="C22" s="106" t="n">
        <v>2106693</v>
      </c>
      <c r="D22" s="106" t="n">
        <v>2532925</v>
      </c>
      <c r="E22" s="106" t="n">
        <v>2502855</v>
      </c>
      <c r="F22" s="106" t="n">
        <v>3127919</v>
      </c>
      <c r="G22" s="106" t="n">
        <v>3029948</v>
      </c>
      <c r="H22" s="106" t="n">
        <v>2825435</v>
      </c>
      <c r="I22" s="106" t="n">
        <v>3346379</v>
      </c>
      <c r="J22" s="106" t="n">
        <v>3160116</v>
      </c>
      <c r="K22" s="106" t="n">
        <v>3164331</v>
      </c>
      <c r="L22" s="106" t="n">
        <v>0</v>
      </c>
      <c r="M22" s="113" t="n">
        <v>0</v>
      </c>
      <c r="N22" s="106"/>
      <c r="O22" s="106"/>
      <c r="P22" s="106"/>
      <c r="Q22" s="106"/>
      <c r="R22" s="106"/>
      <c r="S22" s="106"/>
    </row>
    <row r="23" customFormat="false" ht="17.25" hidden="false" customHeight="true" outlineLevel="0" collapsed="false">
      <c r="A23" s="95" t="s">
        <v>75</v>
      </c>
      <c r="B23" s="106" t="n">
        <v>197</v>
      </c>
      <c r="C23" s="106" t="n">
        <v>197</v>
      </c>
      <c r="D23" s="106" t="n">
        <v>197</v>
      </c>
      <c r="E23" s="106" t="n">
        <v>197</v>
      </c>
      <c r="F23" s="106" t="n">
        <v>197</v>
      </c>
      <c r="G23" s="106" t="n">
        <v>197</v>
      </c>
      <c r="H23" s="106" t="n">
        <v>197</v>
      </c>
      <c r="I23" s="106" t="n">
        <v>197</v>
      </c>
      <c r="J23" s="106" t="n">
        <v>197</v>
      </c>
      <c r="K23" s="106" t="n">
        <v>197</v>
      </c>
      <c r="L23" s="106" t="n">
        <v>197</v>
      </c>
      <c r="M23" s="106" t="n">
        <v>197</v>
      </c>
      <c r="N23" s="106" t="n">
        <v>197</v>
      </c>
      <c r="O23" s="106" t="n">
        <v>197</v>
      </c>
      <c r="P23" s="106" t="n">
        <v>197</v>
      </c>
      <c r="Q23" s="106" t="n">
        <v>197</v>
      </c>
      <c r="R23" s="106" t="n">
        <v>197</v>
      </c>
      <c r="S23" s="106" t="n">
        <v>197</v>
      </c>
    </row>
    <row r="24" customFormat="false" ht="17.25" hidden="false" customHeight="true" outlineLevel="0" collapsed="false">
      <c r="A24" s="95" t="s">
        <v>76</v>
      </c>
      <c r="B24" s="106" t="n">
        <v>0</v>
      </c>
      <c r="C24" s="106" t="n">
        <v>0</v>
      </c>
      <c r="D24" s="106" t="n">
        <v>0</v>
      </c>
      <c r="E24" s="106" t="n">
        <v>0</v>
      </c>
      <c r="F24" s="106" t="n">
        <v>0</v>
      </c>
      <c r="G24" s="106" t="n">
        <v>0</v>
      </c>
      <c r="H24" s="106" t="n">
        <v>0</v>
      </c>
      <c r="I24" s="106" t="n">
        <v>0</v>
      </c>
      <c r="J24" s="106" t="n">
        <v>0</v>
      </c>
      <c r="K24" s="106" t="n">
        <v>0</v>
      </c>
      <c r="L24" s="106" t="n">
        <v>0</v>
      </c>
      <c r="M24" s="113" t="n">
        <v>0</v>
      </c>
      <c r="N24" s="106" t="n">
        <v>0</v>
      </c>
      <c r="O24" s="106" t="n">
        <v>0</v>
      </c>
      <c r="P24" s="106" t="n">
        <v>0</v>
      </c>
      <c r="Q24" s="106" t="n">
        <v>0</v>
      </c>
      <c r="R24" s="106" t="n">
        <v>0</v>
      </c>
      <c r="S24" s="106" t="n">
        <v>0</v>
      </c>
    </row>
    <row r="25" customFormat="false" ht="17.25" hidden="false" customHeight="true" outlineLevel="0" collapsed="false">
      <c r="A25" s="95" t="s">
        <v>77</v>
      </c>
      <c r="B25" s="106" t="n">
        <v>6</v>
      </c>
      <c r="C25" s="106" t="n">
        <v>6</v>
      </c>
      <c r="D25" s="106" t="n">
        <v>6</v>
      </c>
      <c r="E25" s="106" t="n">
        <v>6</v>
      </c>
      <c r="F25" s="106" t="n">
        <v>6</v>
      </c>
      <c r="G25" s="106" t="n">
        <v>6</v>
      </c>
      <c r="H25" s="106" t="n">
        <v>6</v>
      </c>
      <c r="I25" s="106" t="n">
        <v>6</v>
      </c>
      <c r="J25" s="106" t="n">
        <v>6</v>
      </c>
      <c r="K25" s="106" t="n">
        <v>6</v>
      </c>
      <c r="L25" s="106" t="n">
        <v>6</v>
      </c>
      <c r="M25" s="113" t="n">
        <v>6</v>
      </c>
      <c r="N25" s="106" t="n">
        <v>6</v>
      </c>
      <c r="O25" s="106" t="n">
        <v>6</v>
      </c>
      <c r="P25" s="106" t="n">
        <v>6</v>
      </c>
      <c r="Q25" s="106" t="n">
        <v>6</v>
      </c>
      <c r="R25" s="106" t="n">
        <v>6</v>
      </c>
      <c r="S25" s="106" t="n">
        <v>6</v>
      </c>
    </row>
    <row r="26" customFormat="false" ht="17.25" hidden="false" customHeight="true" outlineLevel="0" collapsed="false">
      <c r="A26" s="95" t="s">
        <v>78</v>
      </c>
      <c r="B26" s="106" t="n">
        <v>10</v>
      </c>
      <c r="C26" s="106" t="n">
        <v>10</v>
      </c>
      <c r="D26" s="106" t="n">
        <v>10</v>
      </c>
      <c r="E26" s="106" t="n">
        <v>10</v>
      </c>
      <c r="F26" s="106" t="n">
        <v>10</v>
      </c>
      <c r="G26" s="106" t="n">
        <v>10</v>
      </c>
      <c r="H26" s="106" t="n">
        <v>10</v>
      </c>
      <c r="I26" s="106" t="n">
        <v>10</v>
      </c>
      <c r="J26" s="106" t="n">
        <v>10</v>
      </c>
      <c r="K26" s="106" t="n">
        <v>10</v>
      </c>
      <c r="L26" s="106" t="n">
        <v>10</v>
      </c>
      <c r="M26" s="113" t="n">
        <v>10</v>
      </c>
      <c r="N26" s="106" t="n">
        <v>10</v>
      </c>
      <c r="O26" s="106" t="n">
        <v>10</v>
      </c>
      <c r="P26" s="106" t="n">
        <v>10</v>
      </c>
      <c r="Q26" s="106" t="n">
        <v>10</v>
      </c>
      <c r="R26" s="106" t="n">
        <v>10</v>
      </c>
      <c r="S26" s="106" t="n">
        <v>10</v>
      </c>
    </row>
    <row r="27" customFormat="false" ht="17.25" hidden="false" customHeight="true" outlineLevel="0" collapsed="false">
      <c r="A27" s="95" t="s">
        <v>79</v>
      </c>
      <c r="B27" s="106" t="n">
        <v>0</v>
      </c>
      <c r="C27" s="106" t="n">
        <v>0</v>
      </c>
      <c r="D27" s="106" t="n">
        <v>0</v>
      </c>
      <c r="E27" s="106" t="n">
        <v>0</v>
      </c>
      <c r="F27" s="106" t="n">
        <v>0</v>
      </c>
      <c r="G27" s="106" t="n">
        <v>0</v>
      </c>
      <c r="H27" s="106" t="n">
        <v>0</v>
      </c>
      <c r="I27" s="106" t="n">
        <v>0</v>
      </c>
      <c r="J27" s="106" t="n">
        <v>0</v>
      </c>
      <c r="K27" s="106" t="n">
        <v>0</v>
      </c>
      <c r="L27" s="106" t="n">
        <v>0</v>
      </c>
      <c r="M27" s="113" t="n">
        <v>0</v>
      </c>
      <c r="N27" s="106" t="n">
        <v>0</v>
      </c>
      <c r="O27" s="106" t="n">
        <v>0</v>
      </c>
      <c r="P27" s="106" t="n">
        <v>0</v>
      </c>
      <c r="Q27" s="106" t="n">
        <v>0</v>
      </c>
      <c r="R27" s="106" t="n">
        <v>0</v>
      </c>
      <c r="S27" s="106" t="n">
        <v>0</v>
      </c>
    </row>
    <row r="28" customFormat="false" ht="17.25" hidden="false" customHeight="true" outlineLevel="0" collapsed="false">
      <c r="A28" s="95" t="s">
        <v>80</v>
      </c>
      <c r="B28" s="106" t="n">
        <v>0</v>
      </c>
      <c r="C28" s="106" t="n">
        <v>0</v>
      </c>
      <c r="D28" s="106" t="n">
        <v>0</v>
      </c>
      <c r="E28" s="106" t="n">
        <v>0</v>
      </c>
      <c r="F28" s="106" t="n">
        <v>0</v>
      </c>
      <c r="G28" s="106" t="n">
        <v>0</v>
      </c>
      <c r="H28" s="106" t="n">
        <v>0</v>
      </c>
      <c r="I28" s="106" t="n">
        <v>0</v>
      </c>
      <c r="J28" s="106" t="n">
        <v>0</v>
      </c>
      <c r="K28" s="106" t="n">
        <v>0</v>
      </c>
      <c r="L28" s="106" t="n">
        <v>0</v>
      </c>
      <c r="M28" s="113" t="n">
        <v>0</v>
      </c>
      <c r="N28" s="106" t="n">
        <v>0</v>
      </c>
      <c r="O28" s="106" t="n">
        <v>0</v>
      </c>
      <c r="P28" s="106" t="n">
        <v>0</v>
      </c>
      <c r="Q28" s="106" t="n">
        <v>0</v>
      </c>
      <c r="R28" s="106" t="n">
        <v>0</v>
      </c>
      <c r="S28" s="106" t="n">
        <v>0</v>
      </c>
    </row>
    <row r="29" customFormat="false" ht="33" hidden="false" customHeight="true" outlineLevel="0" collapsed="false">
      <c r="A29" s="95" t="s">
        <v>81</v>
      </c>
      <c r="B29" s="106" t="n">
        <v>0</v>
      </c>
      <c r="C29" s="106" t="n">
        <v>0</v>
      </c>
      <c r="D29" s="106" t="n">
        <v>0</v>
      </c>
      <c r="E29" s="106" t="n">
        <v>0</v>
      </c>
      <c r="F29" s="106" t="n">
        <v>0</v>
      </c>
      <c r="G29" s="106" t="n">
        <v>0</v>
      </c>
      <c r="H29" s="106" t="n">
        <v>0</v>
      </c>
      <c r="I29" s="106" t="n">
        <v>0</v>
      </c>
      <c r="J29" s="106" t="n">
        <v>0</v>
      </c>
      <c r="K29" s="106" t="n">
        <v>0</v>
      </c>
      <c r="L29" s="106" t="n">
        <v>0</v>
      </c>
      <c r="M29" s="113" t="n">
        <v>0</v>
      </c>
      <c r="N29" s="106" t="n">
        <v>0</v>
      </c>
      <c r="O29" s="106" t="n">
        <v>0</v>
      </c>
      <c r="P29" s="106" t="n">
        <v>0</v>
      </c>
      <c r="Q29" s="106" t="n">
        <v>0</v>
      </c>
      <c r="R29" s="106" t="n">
        <v>0</v>
      </c>
      <c r="S29" s="106" t="n">
        <v>0</v>
      </c>
    </row>
    <row r="30" customFormat="false" ht="17.25" hidden="false" customHeight="true" outlineLevel="0" collapsed="false">
      <c r="A30" s="95" t="s">
        <v>82</v>
      </c>
      <c r="B30" s="106" t="n">
        <v>0</v>
      </c>
      <c r="C30" s="106" t="n">
        <v>0</v>
      </c>
      <c r="D30" s="106" t="n">
        <v>0</v>
      </c>
      <c r="E30" s="106" t="n">
        <v>0</v>
      </c>
      <c r="F30" s="106" t="n">
        <v>0</v>
      </c>
      <c r="G30" s="106" t="n">
        <v>0</v>
      </c>
      <c r="H30" s="106" t="n">
        <v>0</v>
      </c>
      <c r="I30" s="106" t="n">
        <v>0</v>
      </c>
      <c r="J30" s="106" t="n">
        <v>0</v>
      </c>
      <c r="K30" s="106" t="n">
        <v>0</v>
      </c>
      <c r="L30" s="106" t="n">
        <v>0</v>
      </c>
      <c r="M30" s="113" t="n">
        <v>0</v>
      </c>
      <c r="N30" s="106" t="n">
        <v>0</v>
      </c>
      <c r="O30" s="106" t="n">
        <v>0</v>
      </c>
      <c r="P30" s="106" t="n">
        <v>0</v>
      </c>
      <c r="Q30" s="106" t="n">
        <v>0</v>
      </c>
      <c r="R30" s="106" t="n">
        <v>0</v>
      </c>
      <c r="S30" s="106" t="n">
        <v>0</v>
      </c>
    </row>
    <row r="31" customFormat="false" ht="17.25" hidden="false" customHeight="true" outlineLevel="0" collapsed="false">
      <c r="A31" s="95" t="s">
        <v>83</v>
      </c>
      <c r="B31" s="106" t="n">
        <v>0</v>
      </c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13"/>
      <c r="N31" s="106"/>
      <c r="O31" s="106"/>
      <c r="P31" s="106"/>
      <c r="Q31" s="106"/>
      <c r="R31" s="106"/>
      <c r="S31" s="106"/>
    </row>
    <row r="32" customFormat="false" ht="17.25" hidden="false" customHeight="true" outlineLevel="0" collapsed="false">
      <c r="A32" s="95" t="s">
        <v>84</v>
      </c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13"/>
      <c r="N32" s="106"/>
      <c r="O32" s="106"/>
      <c r="P32" s="106"/>
      <c r="Q32" s="106"/>
      <c r="R32" s="106"/>
      <c r="S32" s="106"/>
    </row>
    <row r="33" customFormat="false" ht="17.25" hidden="false" customHeight="true" outlineLevel="0" collapsed="false">
      <c r="A33" s="95" t="s">
        <v>85</v>
      </c>
      <c r="B33" s="114" t="n">
        <v>8087</v>
      </c>
      <c r="C33" s="114" t="n">
        <v>8482</v>
      </c>
      <c r="D33" s="114" t="n">
        <v>9435</v>
      </c>
      <c r="E33" s="114" t="n">
        <v>11975</v>
      </c>
      <c r="F33" s="114" t="n">
        <v>11499</v>
      </c>
      <c r="G33" s="114" t="n">
        <v>12425</v>
      </c>
      <c r="H33" s="114" t="n">
        <v>12732</v>
      </c>
      <c r="I33" s="114" t="n">
        <v>10450</v>
      </c>
      <c r="J33" s="114" t="n">
        <v>12838</v>
      </c>
      <c r="K33" s="114" t="n">
        <v>15510</v>
      </c>
      <c r="L33" s="114" t="n">
        <v>14528</v>
      </c>
      <c r="M33" s="115" t="n">
        <v>14102</v>
      </c>
      <c r="N33" s="115" t="n">
        <v>14424</v>
      </c>
      <c r="O33" s="115" t="n">
        <v>14524</v>
      </c>
      <c r="P33" s="115" t="n">
        <v>14282</v>
      </c>
      <c r="Q33" s="115" t="n">
        <v>13034</v>
      </c>
      <c r="R33" s="115" t="n">
        <v>15507</v>
      </c>
      <c r="S33" s="115" t="n">
        <v>17548</v>
      </c>
    </row>
    <row r="34" customFormat="false" ht="17.25" hidden="false" customHeight="true" outlineLevel="0" collapsed="false">
      <c r="A34" s="95" t="s">
        <v>86</v>
      </c>
      <c r="B34" s="106" t="n">
        <v>293</v>
      </c>
      <c r="C34" s="106" t="n">
        <v>354</v>
      </c>
      <c r="D34" s="106" t="n">
        <v>354</v>
      </c>
      <c r="E34" s="106" t="n">
        <v>384</v>
      </c>
      <c r="F34" s="106" t="n">
        <v>384</v>
      </c>
      <c r="G34" s="106" t="n">
        <v>384</v>
      </c>
      <c r="H34" s="106" t="n">
        <v>322</v>
      </c>
      <c r="I34" s="106" t="n">
        <v>406</v>
      </c>
      <c r="J34" s="106" t="n">
        <v>406</v>
      </c>
      <c r="K34" s="106" t="n">
        <v>460</v>
      </c>
      <c r="L34" s="106" t="n">
        <v>309</v>
      </c>
      <c r="M34" s="113" t="n">
        <v>309</v>
      </c>
      <c r="N34" s="106" t="n">
        <v>462</v>
      </c>
      <c r="O34" s="106" t="n">
        <v>462</v>
      </c>
      <c r="P34" s="106" t="n">
        <v>375</v>
      </c>
      <c r="Q34" s="106" t="n">
        <v>309</v>
      </c>
      <c r="R34" s="106" t="n">
        <v>474</v>
      </c>
      <c r="S34" s="106" t="n">
        <v>456</v>
      </c>
    </row>
    <row r="35" customFormat="false" ht="17.25" hidden="false" customHeight="true" outlineLevel="0" collapsed="false">
      <c r="A35" s="11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13"/>
      <c r="N35" s="106"/>
      <c r="O35" s="106"/>
      <c r="P35" s="106"/>
      <c r="Q35" s="106"/>
      <c r="R35" s="106"/>
      <c r="S35" s="106"/>
    </row>
    <row r="36" customFormat="false" ht="17.25" hidden="false" customHeight="true" outlineLevel="0" collapsed="false">
      <c r="A36" s="117" t="s">
        <v>87</v>
      </c>
      <c r="B36" s="106" t="n">
        <v>0</v>
      </c>
      <c r="C36" s="106" t="n">
        <v>0</v>
      </c>
      <c r="D36" s="106" t="n">
        <v>0</v>
      </c>
      <c r="E36" s="106" t="n">
        <v>0</v>
      </c>
      <c r="F36" s="106" t="n">
        <v>0</v>
      </c>
      <c r="G36" s="106" t="n">
        <v>0</v>
      </c>
      <c r="H36" s="106" t="n">
        <v>0</v>
      </c>
      <c r="I36" s="106" t="n">
        <v>0</v>
      </c>
      <c r="J36" s="106" t="n">
        <v>0</v>
      </c>
      <c r="K36" s="106" t="n">
        <v>0</v>
      </c>
      <c r="L36" s="106" t="n">
        <v>0</v>
      </c>
      <c r="M36" s="113" t="n">
        <v>0</v>
      </c>
      <c r="N36" s="106" t="n">
        <v>0</v>
      </c>
      <c r="O36" s="106" t="n">
        <v>0</v>
      </c>
      <c r="P36" s="106" t="n">
        <v>0</v>
      </c>
      <c r="Q36" s="106" t="n">
        <v>0</v>
      </c>
      <c r="R36" s="106" t="n">
        <v>0</v>
      </c>
      <c r="S36" s="106" t="n">
        <v>0</v>
      </c>
    </row>
    <row r="37" customFormat="false" ht="17.25" hidden="false" customHeight="true" outlineLevel="0" collapsed="false">
      <c r="A37" s="117" t="s">
        <v>88</v>
      </c>
      <c r="B37" s="106" t="n">
        <v>0</v>
      </c>
      <c r="C37" s="106" t="n">
        <v>0</v>
      </c>
      <c r="D37" s="106" t="n">
        <v>0</v>
      </c>
      <c r="E37" s="106" t="n">
        <v>0</v>
      </c>
      <c r="F37" s="106" t="n">
        <v>0</v>
      </c>
      <c r="G37" s="106" t="n">
        <v>0</v>
      </c>
      <c r="H37" s="106" t="n">
        <v>0</v>
      </c>
      <c r="I37" s="106" t="n">
        <v>0</v>
      </c>
      <c r="J37" s="106" t="n">
        <v>0</v>
      </c>
      <c r="K37" s="106" t="n">
        <v>0</v>
      </c>
      <c r="L37" s="106" t="n">
        <v>0</v>
      </c>
      <c r="M37" s="113" t="n">
        <v>0</v>
      </c>
      <c r="N37" s="106" t="n">
        <v>0</v>
      </c>
      <c r="O37" s="106" t="n">
        <v>0</v>
      </c>
      <c r="P37" s="106" t="n">
        <v>0</v>
      </c>
      <c r="Q37" s="106" t="n">
        <v>0</v>
      </c>
      <c r="R37" s="106" t="n">
        <v>0</v>
      </c>
      <c r="S37" s="106" t="n">
        <v>0</v>
      </c>
    </row>
    <row r="38" customFormat="false" ht="17.25" hidden="false" customHeight="true" outlineLevel="0" collapsed="false">
      <c r="A38" s="117" t="s">
        <v>89</v>
      </c>
      <c r="B38" s="106" t="n">
        <v>0</v>
      </c>
      <c r="C38" s="106" t="n">
        <v>0</v>
      </c>
      <c r="D38" s="106" t="n">
        <v>0</v>
      </c>
      <c r="E38" s="106" t="n">
        <v>0</v>
      </c>
      <c r="F38" s="106" t="n">
        <v>0</v>
      </c>
      <c r="G38" s="106" t="n">
        <v>0</v>
      </c>
      <c r="H38" s="106" t="n">
        <v>0</v>
      </c>
      <c r="I38" s="106" t="n">
        <v>0</v>
      </c>
      <c r="J38" s="106" t="n">
        <v>0</v>
      </c>
      <c r="K38" s="106" t="n">
        <v>0</v>
      </c>
      <c r="L38" s="106" t="n">
        <v>0</v>
      </c>
      <c r="M38" s="113" t="n">
        <v>0</v>
      </c>
      <c r="N38" s="106" t="n">
        <v>0</v>
      </c>
      <c r="O38" s="106" t="n">
        <v>0</v>
      </c>
      <c r="P38" s="106" t="n">
        <v>0</v>
      </c>
      <c r="Q38" s="106" t="n">
        <v>0</v>
      </c>
      <c r="R38" s="106" t="n">
        <v>0</v>
      </c>
      <c r="S38" s="106" t="n">
        <v>0</v>
      </c>
    </row>
    <row r="39" customFormat="false" ht="17.25" hidden="false" customHeight="true" outlineLevel="0" collapsed="false">
      <c r="A39" s="117" t="s">
        <v>90</v>
      </c>
      <c r="B39" s="106" t="n">
        <v>0</v>
      </c>
      <c r="C39" s="106" t="n">
        <v>0</v>
      </c>
      <c r="D39" s="106" t="n">
        <v>0</v>
      </c>
      <c r="E39" s="106" t="n">
        <v>0</v>
      </c>
      <c r="F39" s="106" t="n">
        <v>0</v>
      </c>
      <c r="G39" s="106" t="n">
        <v>0</v>
      </c>
      <c r="H39" s="106" t="n">
        <v>0</v>
      </c>
      <c r="I39" s="106" t="n">
        <v>0</v>
      </c>
      <c r="J39" s="106" t="n">
        <v>0</v>
      </c>
      <c r="K39" s="106" t="n">
        <v>0</v>
      </c>
      <c r="L39" s="106" t="n">
        <v>0</v>
      </c>
      <c r="M39" s="113" t="n">
        <v>0</v>
      </c>
      <c r="N39" s="106" t="n">
        <v>0</v>
      </c>
      <c r="O39" s="106" t="n">
        <v>0</v>
      </c>
      <c r="P39" s="106" t="n">
        <v>0</v>
      </c>
      <c r="Q39" s="106" t="n">
        <v>0</v>
      </c>
      <c r="R39" s="106" t="n">
        <v>0</v>
      </c>
      <c r="S39" s="106" t="n">
        <v>0</v>
      </c>
    </row>
    <row r="40" customFormat="false" ht="17.25" hidden="false" customHeight="true" outlineLevel="0" collapsed="false">
      <c r="A40" s="117" t="s">
        <v>91</v>
      </c>
      <c r="B40" s="106" t="n">
        <v>0</v>
      </c>
      <c r="C40" s="106" t="n">
        <v>0</v>
      </c>
      <c r="D40" s="106" t="n">
        <v>0</v>
      </c>
      <c r="E40" s="106" t="n">
        <v>0</v>
      </c>
      <c r="F40" s="106" t="n">
        <v>0</v>
      </c>
      <c r="G40" s="106" t="n">
        <v>0</v>
      </c>
      <c r="H40" s="106" t="n">
        <v>0</v>
      </c>
      <c r="I40" s="106" t="n">
        <v>0</v>
      </c>
      <c r="J40" s="106" t="n">
        <v>0</v>
      </c>
      <c r="K40" s="106" t="n">
        <v>0</v>
      </c>
      <c r="L40" s="106" t="n">
        <v>0</v>
      </c>
      <c r="M40" s="113" t="n">
        <v>0</v>
      </c>
      <c r="N40" s="106" t="n">
        <v>0</v>
      </c>
      <c r="O40" s="106" t="n">
        <v>0</v>
      </c>
      <c r="P40" s="106" t="n">
        <v>0</v>
      </c>
      <c r="Q40" s="106" t="n">
        <v>0</v>
      </c>
      <c r="R40" s="106" t="n">
        <v>0</v>
      </c>
      <c r="S40" s="106" t="n">
        <v>0</v>
      </c>
    </row>
    <row r="41" customFormat="false" ht="17.25" hidden="false" customHeight="true" outlineLevel="0" collapsed="false">
      <c r="A41" s="117" t="s">
        <v>92</v>
      </c>
      <c r="B41" s="106" t="n">
        <v>0</v>
      </c>
      <c r="C41" s="106" t="n">
        <v>0</v>
      </c>
      <c r="D41" s="106" t="n">
        <v>0</v>
      </c>
      <c r="E41" s="106" t="n">
        <v>0</v>
      </c>
      <c r="F41" s="106" t="n">
        <v>0</v>
      </c>
      <c r="G41" s="106" t="n">
        <v>0</v>
      </c>
      <c r="H41" s="106" t="n">
        <v>0</v>
      </c>
      <c r="I41" s="106" t="n">
        <v>0</v>
      </c>
      <c r="J41" s="106" t="n">
        <v>0</v>
      </c>
      <c r="K41" s="106" t="n">
        <v>0</v>
      </c>
      <c r="L41" s="106" t="n">
        <v>0</v>
      </c>
      <c r="M41" s="113" t="n">
        <v>0</v>
      </c>
      <c r="N41" s="106" t="n">
        <v>0</v>
      </c>
      <c r="O41" s="106" t="n">
        <v>0</v>
      </c>
      <c r="P41" s="106" t="n">
        <v>0</v>
      </c>
      <c r="Q41" s="106" t="n">
        <v>0</v>
      </c>
      <c r="R41" s="106" t="n">
        <v>0</v>
      </c>
      <c r="S41" s="106" t="n">
        <v>0</v>
      </c>
    </row>
    <row r="42" customFormat="false" ht="17.25" hidden="false" customHeight="true" outlineLevel="0" collapsed="false">
      <c r="A42" s="117" t="s">
        <v>93</v>
      </c>
      <c r="B42" s="106" t="n">
        <v>0</v>
      </c>
      <c r="C42" s="106" t="n">
        <v>0</v>
      </c>
      <c r="D42" s="106" t="n">
        <v>0</v>
      </c>
      <c r="E42" s="106" t="n">
        <v>0</v>
      </c>
      <c r="F42" s="106" t="n">
        <v>0</v>
      </c>
      <c r="G42" s="106" t="n">
        <v>0</v>
      </c>
      <c r="H42" s="106" t="n">
        <v>0</v>
      </c>
      <c r="I42" s="106" t="n">
        <v>0</v>
      </c>
      <c r="J42" s="106" t="n">
        <v>0</v>
      </c>
      <c r="K42" s="106" t="n">
        <v>0</v>
      </c>
      <c r="L42" s="106" t="n">
        <v>0</v>
      </c>
      <c r="M42" s="113" t="n">
        <v>0</v>
      </c>
      <c r="N42" s="106" t="n">
        <v>0</v>
      </c>
      <c r="O42" s="106" t="n">
        <v>0</v>
      </c>
      <c r="P42" s="106" t="n">
        <v>0</v>
      </c>
      <c r="Q42" s="106" t="n">
        <v>0</v>
      </c>
      <c r="R42" s="106" t="n">
        <v>0</v>
      </c>
      <c r="S42" s="106" t="n">
        <v>0</v>
      </c>
    </row>
    <row r="43" customFormat="false" ht="17.25" hidden="false" customHeight="true" outlineLevel="0" collapsed="false">
      <c r="A43" s="117" t="s">
        <v>94</v>
      </c>
      <c r="B43" s="106" t="n">
        <v>0</v>
      </c>
      <c r="C43" s="106" t="n">
        <v>0</v>
      </c>
      <c r="D43" s="106" t="n">
        <v>0</v>
      </c>
      <c r="E43" s="106" t="n">
        <v>0</v>
      </c>
      <c r="F43" s="106" t="n">
        <v>0</v>
      </c>
      <c r="G43" s="106" t="n">
        <v>0</v>
      </c>
      <c r="H43" s="106" t="n">
        <v>0</v>
      </c>
      <c r="I43" s="106" t="n">
        <v>0</v>
      </c>
      <c r="J43" s="106" t="n">
        <v>0</v>
      </c>
      <c r="K43" s="106" t="n">
        <v>0</v>
      </c>
      <c r="L43" s="106" t="n">
        <v>0</v>
      </c>
      <c r="M43" s="113" t="n">
        <v>0</v>
      </c>
      <c r="N43" s="106" t="n">
        <v>0</v>
      </c>
      <c r="O43" s="106" t="n">
        <v>0</v>
      </c>
      <c r="P43" s="106" t="n">
        <v>0</v>
      </c>
      <c r="Q43" s="106" t="n">
        <v>0</v>
      </c>
      <c r="R43" s="106" t="n">
        <v>0</v>
      </c>
      <c r="S43" s="106" t="n">
        <v>0</v>
      </c>
    </row>
    <row r="44" customFormat="false" ht="17.25" hidden="false" customHeight="true" outlineLevel="0" collapsed="false">
      <c r="A44" s="117" t="s">
        <v>95</v>
      </c>
      <c r="B44" s="106" t="n">
        <v>0</v>
      </c>
      <c r="C44" s="106" t="n">
        <v>0</v>
      </c>
      <c r="D44" s="106" t="n">
        <v>0</v>
      </c>
      <c r="E44" s="106" t="n">
        <v>0</v>
      </c>
      <c r="F44" s="106" t="n">
        <v>0</v>
      </c>
      <c r="G44" s="106" t="n">
        <v>0</v>
      </c>
      <c r="H44" s="106" t="n">
        <v>0</v>
      </c>
      <c r="I44" s="106" t="n">
        <v>0</v>
      </c>
      <c r="J44" s="106" t="n">
        <v>0</v>
      </c>
      <c r="K44" s="106" t="n">
        <v>0</v>
      </c>
      <c r="L44" s="106" t="n">
        <v>0</v>
      </c>
      <c r="M44" s="113" t="n">
        <v>0</v>
      </c>
      <c r="N44" s="106" t="n">
        <v>0</v>
      </c>
      <c r="O44" s="106" t="n">
        <v>0</v>
      </c>
      <c r="P44" s="106" t="n">
        <v>0</v>
      </c>
      <c r="Q44" s="106" t="n">
        <v>0</v>
      </c>
      <c r="R44" s="106" t="n">
        <v>0</v>
      </c>
      <c r="S44" s="106" t="n">
        <v>0</v>
      </c>
    </row>
    <row r="45" customFormat="false" ht="17.25" hidden="false" customHeight="true" outlineLevel="0" collapsed="false">
      <c r="A45" s="117" t="s">
        <v>96</v>
      </c>
      <c r="B45" s="106" t="n">
        <v>0</v>
      </c>
      <c r="C45" s="106" t="n">
        <v>0</v>
      </c>
      <c r="D45" s="106" t="n">
        <v>0</v>
      </c>
      <c r="E45" s="106" t="n">
        <v>0</v>
      </c>
      <c r="F45" s="106" t="n">
        <v>0</v>
      </c>
      <c r="G45" s="106" t="n">
        <v>0</v>
      </c>
      <c r="H45" s="106" t="n">
        <v>0</v>
      </c>
      <c r="I45" s="106" t="n">
        <v>0</v>
      </c>
      <c r="J45" s="106" t="n">
        <v>0</v>
      </c>
      <c r="K45" s="106" t="n">
        <v>0</v>
      </c>
      <c r="L45" s="106" t="n">
        <v>0</v>
      </c>
      <c r="M45" s="113" t="n">
        <v>0</v>
      </c>
      <c r="N45" s="106" t="n">
        <v>0</v>
      </c>
      <c r="O45" s="106" t="n">
        <v>0</v>
      </c>
      <c r="P45" s="106" t="n">
        <v>0</v>
      </c>
      <c r="Q45" s="106" t="n">
        <v>0</v>
      </c>
      <c r="R45" s="106" t="n">
        <v>0</v>
      </c>
      <c r="S45" s="106" t="n">
        <v>0</v>
      </c>
    </row>
    <row r="46" customFormat="false" ht="17.25" hidden="false" customHeight="true" outlineLevel="0" collapsed="false">
      <c r="A46" s="117" t="s">
        <v>97</v>
      </c>
      <c r="B46" s="106" t="n">
        <v>0</v>
      </c>
      <c r="C46" s="106" t="n">
        <v>0</v>
      </c>
      <c r="D46" s="106" t="n">
        <v>0</v>
      </c>
      <c r="E46" s="106" t="n">
        <v>0</v>
      </c>
      <c r="F46" s="106" t="n">
        <v>0</v>
      </c>
      <c r="G46" s="106" t="n">
        <v>0</v>
      </c>
      <c r="H46" s="106" t="n">
        <v>0</v>
      </c>
      <c r="I46" s="106" t="n">
        <v>0</v>
      </c>
      <c r="J46" s="106" t="n">
        <v>0</v>
      </c>
      <c r="K46" s="106" t="n">
        <v>0</v>
      </c>
      <c r="L46" s="106" t="n">
        <v>0</v>
      </c>
      <c r="M46" s="113" t="n">
        <v>0</v>
      </c>
      <c r="N46" s="106" t="n">
        <v>0</v>
      </c>
      <c r="O46" s="106" t="n">
        <v>0</v>
      </c>
      <c r="P46" s="106" t="n">
        <v>0</v>
      </c>
      <c r="Q46" s="106" t="n">
        <v>0</v>
      </c>
      <c r="R46" s="106" t="n">
        <v>0</v>
      </c>
      <c r="S46" s="106" t="n">
        <v>0</v>
      </c>
    </row>
    <row r="47" customFormat="false" ht="17.25" hidden="false" customHeight="true" outlineLevel="0" collapsed="false">
      <c r="A47" s="118" t="s">
        <v>98</v>
      </c>
      <c r="B47" s="106" t="n">
        <v>0</v>
      </c>
      <c r="C47" s="106" t="n">
        <v>0</v>
      </c>
      <c r="D47" s="106" t="n">
        <v>0</v>
      </c>
      <c r="E47" s="106" t="n">
        <v>0</v>
      </c>
      <c r="F47" s="106" t="n">
        <v>0</v>
      </c>
      <c r="G47" s="106" t="n">
        <v>0</v>
      </c>
      <c r="H47" s="106" t="n">
        <v>0</v>
      </c>
      <c r="I47" s="106" t="n">
        <v>0</v>
      </c>
      <c r="J47" s="106" t="n">
        <v>0</v>
      </c>
      <c r="K47" s="106" t="n">
        <v>0</v>
      </c>
      <c r="L47" s="106" t="n">
        <v>0</v>
      </c>
      <c r="M47" s="113" t="n">
        <v>0</v>
      </c>
      <c r="N47" s="106" t="n">
        <v>0</v>
      </c>
      <c r="O47" s="106" t="n">
        <v>0</v>
      </c>
      <c r="P47" s="106" t="n">
        <v>0</v>
      </c>
      <c r="Q47" s="106" t="n">
        <v>0</v>
      </c>
      <c r="R47" s="106" t="n">
        <v>0</v>
      </c>
      <c r="S47" s="106" t="n">
        <v>0</v>
      </c>
    </row>
    <row r="48" customFormat="false" ht="15.75" hidden="false" customHeight="true" outlineLevel="0" collapsed="false">
      <c r="A48" s="119" t="s">
        <v>99</v>
      </c>
    </row>
    <row r="49" customFormat="false" ht="15.75" hidden="false" customHeight="true" outlineLevel="0" collapsed="false">
      <c r="A49" s="119" t="s">
        <v>100</v>
      </c>
    </row>
    <row r="50" customFormat="false" ht="15.75" hidden="false" customHeight="true" outlineLevel="0" collapsed="false">
      <c r="A50" s="119" t="s">
        <v>101</v>
      </c>
    </row>
    <row r="51" customFormat="false" ht="15.75" hidden="false" customHeight="true" outlineLevel="0" collapsed="false">
      <c r="A51" s="119" t="s">
        <v>102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O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Y13" activeCellId="0" sqref="Y13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84.57"/>
    <col collapsed="false" customWidth="true" hidden="false" outlineLevel="0" max="2" min="2" style="1" width="11.71"/>
    <col collapsed="false" customWidth="true" hidden="false" outlineLevel="0" max="3" min="3" style="1" width="16.29"/>
    <col collapsed="false" customWidth="true" hidden="false" outlineLevel="0" max="4" min="4" style="1" width="11.71"/>
    <col collapsed="false" customWidth="true" hidden="false" outlineLevel="0" max="5" min="5" style="1" width="16.29"/>
    <col collapsed="false" customWidth="true" hidden="false" outlineLevel="0" max="6" min="6" style="1" width="11.71"/>
    <col collapsed="false" customWidth="true" hidden="false" outlineLevel="0" max="7" min="7" style="1" width="16.29"/>
    <col collapsed="false" customWidth="true" hidden="false" outlineLevel="0" max="8" min="8" style="1" width="11.71"/>
    <col collapsed="false" customWidth="true" hidden="false" outlineLevel="0" max="9" min="9" style="1" width="16.29"/>
    <col collapsed="false" customWidth="true" hidden="false" outlineLevel="0" max="10" min="10" style="1" width="11.71"/>
    <col collapsed="false" customWidth="true" hidden="false" outlineLevel="0" max="11" min="11" style="1" width="16.29"/>
    <col collapsed="false" customWidth="true" hidden="false" outlineLevel="0" max="12" min="12" style="1" width="11.71"/>
    <col collapsed="false" customWidth="true" hidden="false" outlineLevel="0" max="13" min="13" style="1" width="16.29"/>
    <col collapsed="false" customWidth="true" hidden="false" outlineLevel="0" max="14" min="14" style="1" width="11.71"/>
    <col collapsed="false" customWidth="true" hidden="false" outlineLevel="0" max="15" min="15" style="1" width="16.29"/>
    <col collapsed="false" customWidth="true" hidden="false" outlineLevel="0" max="16" min="16" style="1" width="11.71"/>
    <col collapsed="false" customWidth="true" hidden="false" outlineLevel="0" max="17" min="17" style="1" width="16.29"/>
    <col collapsed="false" customWidth="true" hidden="false" outlineLevel="0" max="18" min="18" style="1" width="11.71"/>
    <col collapsed="false" customWidth="true" hidden="false" outlineLevel="0" max="19" min="19" style="1" width="16.29"/>
    <col collapsed="false" customWidth="true" hidden="false" outlineLevel="0" max="20" min="20" style="120" width="11.71"/>
    <col collapsed="false" customWidth="true" hidden="false" outlineLevel="0" max="21" min="21" style="1" width="16.29"/>
    <col collapsed="false" customWidth="true" hidden="false" outlineLevel="0" max="22" min="22" style="1" width="12.29"/>
    <col collapsed="false" customWidth="true" hidden="false" outlineLevel="0" max="23" min="23" style="1" width="16.85"/>
    <col collapsed="false" customWidth="true" hidden="false" outlineLevel="0" max="24" min="24" style="1" width="12.29"/>
    <col collapsed="false" customWidth="true" hidden="false" outlineLevel="0" max="25" min="25" style="1" width="16.85"/>
    <col collapsed="false" customWidth="true" hidden="false" outlineLevel="0" max="26" min="26" style="1" width="2"/>
    <col collapsed="false" customWidth="true" hidden="false" outlineLevel="0" max="27" min="27" style="1" width="12.71"/>
    <col collapsed="false" customWidth="true" hidden="false" outlineLevel="0" max="28" min="28" style="1" width="17.29"/>
    <col collapsed="false" customWidth="true" hidden="false" outlineLevel="0" max="30" min="30" style="1" width="15.14"/>
    <col collapsed="false" customWidth="true" hidden="false" outlineLevel="0" max="31" min="31" style="1" width="18.71"/>
    <col collapsed="false" customWidth="true" hidden="false" outlineLevel="0" max="32" min="32" style="1" width="13.71"/>
    <col collapsed="false" customWidth="true" hidden="false" outlineLevel="0" max="33" min="33" style="1" width="16.29"/>
    <col collapsed="false" customWidth="true" hidden="false" outlineLevel="0" max="34" min="34" style="1" width="15.14"/>
    <col collapsed="false" customWidth="true" hidden="false" outlineLevel="0" max="35" min="35" style="1" width="17.29"/>
    <col collapsed="false" customWidth="true" hidden="false" outlineLevel="0" max="36" min="36" style="1" width="15.14"/>
    <col collapsed="false" customWidth="true" hidden="false" outlineLevel="0" max="37" min="37" style="1" width="16.29"/>
    <col collapsed="false" customWidth="true" hidden="false" outlineLevel="0" max="39" min="39" style="1" width="16.29"/>
    <col collapsed="false" customWidth="true" hidden="false" outlineLevel="0" max="41" min="41" style="1" width="16.29"/>
  </cols>
  <sheetData>
    <row r="1" customFormat="false" ht="18.75" hidden="false" customHeight="true" outlineLevel="0" collapsed="false">
      <c r="A1" s="91" t="s">
        <v>103</v>
      </c>
      <c r="B1" s="91"/>
      <c r="C1" s="91"/>
      <c r="D1" s="91"/>
      <c r="E1" s="91"/>
    </row>
    <row r="2" customFormat="false" ht="19.5" hidden="false" customHeight="true" outlineLevel="0" collapsed="false">
      <c r="A2" s="29" t="s">
        <v>1</v>
      </c>
      <c r="B2" s="92"/>
      <c r="C2" s="92"/>
      <c r="D2" s="92"/>
      <c r="E2" s="92"/>
    </row>
    <row r="3" customFormat="false" ht="18.75" hidden="false" customHeight="true" outlineLevel="0" collapsed="false">
      <c r="A3" s="29" t="s">
        <v>55</v>
      </c>
      <c r="B3" s="92"/>
      <c r="C3" s="92"/>
      <c r="D3" s="92"/>
      <c r="E3" s="92"/>
    </row>
    <row r="4" customFormat="false" ht="15.75" hidden="false" customHeight="true" outlineLevel="0" collapsed="false">
      <c r="A4" s="8"/>
      <c r="B4" s="121" t="n">
        <v>45658</v>
      </c>
      <c r="C4" s="121"/>
      <c r="D4" s="121" t="n">
        <v>45689</v>
      </c>
      <c r="E4" s="121"/>
      <c r="F4" s="121" t="n">
        <v>45717</v>
      </c>
      <c r="G4" s="121"/>
      <c r="H4" s="121" t="n">
        <v>45748</v>
      </c>
      <c r="I4" s="121"/>
      <c r="J4" s="121" t="n">
        <v>45778</v>
      </c>
      <c r="K4" s="121"/>
      <c r="L4" s="121" t="n">
        <v>45809</v>
      </c>
      <c r="M4" s="121"/>
      <c r="N4" s="121" t="n">
        <v>45839</v>
      </c>
      <c r="O4" s="121"/>
      <c r="P4" s="121" t="n">
        <v>45870</v>
      </c>
      <c r="Q4" s="121"/>
      <c r="R4" s="121" t="n">
        <v>45901</v>
      </c>
      <c r="S4" s="121"/>
      <c r="T4" s="121" t="n">
        <v>45931</v>
      </c>
      <c r="U4" s="121"/>
      <c r="V4" s="121" t="n">
        <v>45962</v>
      </c>
      <c r="W4" s="121"/>
      <c r="X4" s="121" t="n">
        <v>45992</v>
      </c>
      <c r="Y4" s="121"/>
      <c r="Z4" s="122"/>
      <c r="AA4" s="123" t="s">
        <v>104</v>
      </c>
      <c r="AB4" s="123"/>
      <c r="AD4" s="121" t="n">
        <v>46023</v>
      </c>
      <c r="AE4" s="121"/>
      <c r="AF4" s="121" t="n">
        <v>46054</v>
      </c>
      <c r="AG4" s="121"/>
      <c r="AH4" s="121" t="n">
        <v>46082</v>
      </c>
      <c r="AI4" s="121"/>
      <c r="AJ4" s="121" t="n">
        <v>46113</v>
      </c>
      <c r="AK4" s="121"/>
      <c r="AL4" s="121" t="n">
        <v>46143</v>
      </c>
      <c r="AM4" s="121"/>
      <c r="AN4" s="123" t="n">
        <v>46174</v>
      </c>
      <c r="AO4" s="123"/>
    </row>
    <row r="5" customFormat="false" ht="19.5" hidden="false" customHeight="true" outlineLevel="0" collapsed="false">
      <c r="A5" s="124" t="s">
        <v>56</v>
      </c>
      <c r="B5" s="125" t="s">
        <v>105</v>
      </c>
      <c r="C5" s="126" t="s">
        <v>106</v>
      </c>
      <c r="D5" s="125" t="s">
        <v>105</v>
      </c>
      <c r="E5" s="126" t="s">
        <v>106</v>
      </c>
      <c r="F5" s="125" t="s">
        <v>105</v>
      </c>
      <c r="G5" s="126" t="s">
        <v>106</v>
      </c>
      <c r="H5" s="125" t="s">
        <v>105</v>
      </c>
      <c r="I5" s="126" t="s">
        <v>106</v>
      </c>
      <c r="J5" s="125" t="s">
        <v>105</v>
      </c>
      <c r="K5" s="127" t="s">
        <v>106</v>
      </c>
      <c r="L5" s="125" t="s">
        <v>105</v>
      </c>
      <c r="M5" s="127" t="s">
        <v>106</v>
      </c>
      <c r="N5" s="125" t="s">
        <v>105</v>
      </c>
      <c r="O5" s="127" t="s">
        <v>106</v>
      </c>
      <c r="P5" s="125" t="s">
        <v>105</v>
      </c>
      <c r="Q5" s="127" t="s">
        <v>106</v>
      </c>
      <c r="R5" s="125" t="s">
        <v>105</v>
      </c>
      <c r="S5" s="127" t="s">
        <v>106</v>
      </c>
      <c r="T5" s="125" t="s">
        <v>105</v>
      </c>
      <c r="U5" s="127" t="s">
        <v>106</v>
      </c>
      <c r="V5" s="125" t="s">
        <v>105</v>
      </c>
      <c r="W5" s="127" t="s">
        <v>106</v>
      </c>
      <c r="X5" s="125" t="s">
        <v>105</v>
      </c>
      <c r="Y5" s="127" t="s">
        <v>106</v>
      </c>
      <c r="Z5" s="128"/>
      <c r="AA5" s="125" t="s">
        <v>105</v>
      </c>
      <c r="AB5" s="127" t="s">
        <v>106</v>
      </c>
      <c r="AD5" s="129" t="s">
        <v>105</v>
      </c>
      <c r="AE5" s="130" t="s">
        <v>106</v>
      </c>
      <c r="AF5" s="125" t="s">
        <v>105</v>
      </c>
      <c r="AG5" s="126" t="s">
        <v>106</v>
      </c>
      <c r="AH5" s="125" t="s">
        <v>105</v>
      </c>
      <c r="AI5" s="126" t="s">
        <v>106</v>
      </c>
      <c r="AJ5" s="125" t="s">
        <v>105</v>
      </c>
      <c r="AK5" s="126" t="s">
        <v>106</v>
      </c>
      <c r="AL5" s="125" t="s">
        <v>105</v>
      </c>
      <c r="AM5" s="127" t="s">
        <v>106</v>
      </c>
      <c r="AN5" s="125" t="s">
        <v>105</v>
      </c>
      <c r="AO5" s="127" t="s">
        <v>106</v>
      </c>
    </row>
    <row r="6" customFormat="false" ht="16.5" hidden="false" customHeight="true" outlineLevel="0" collapsed="false">
      <c r="A6" s="131" t="s">
        <v>107</v>
      </c>
      <c r="B6" s="132" t="n">
        <v>975862</v>
      </c>
      <c r="C6" s="132" t="n">
        <v>18535567925</v>
      </c>
      <c r="D6" s="132" t="n">
        <v>1199948</v>
      </c>
      <c r="E6" s="132" t="n">
        <v>24902309427</v>
      </c>
      <c r="F6" s="132" t="n">
        <v>874222</v>
      </c>
      <c r="G6" s="132" t="n">
        <v>19633703793</v>
      </c>
      <c r="H6" s="132" t="n">
        <v>1299789</v>
      </c>
      <c r="I6" s="132" t="n">
        <v>1299789</v>
      </c>
      <c r="J6" s="132" t="n">
        <v>1109294</v>
      </c>
      <c r="K6" s="132" t="n">
        <v>25601810328</v>
      </c>
      <c r="L6" s="132" t="n">
        <v>1347799</v>
      </c>
      <c r="M6" s="132" t="n">
        <v>20044839865</v>
      </c>
      <c r="N6" s="132" t="n">
        <v>1202527</v>
      </c>
      <c r="O6" s="132" t="n">
        <v>28358877302</v>
      </c>
      <c r="P6" s="132" t="n">
        <v>1419448</v>
      </c>
      <c r="Q6" s="132" t="n">
        <v>31571424172</v>
      </c>
      <c r="R6" s="132" t="n">
        <v>1206617</v>
      </c>
      <c r="S6" s="132" t="n">
        <v>30846305382</v>
      </c>
      <c r="T6" s="132" t="n">
        <v>1575059</v>
      </c>
      <c r="U6" s="133" t="n">
        <v>26356459876</v>
      </c>
      <c r="V6" s="134" t="n">
        <f aca="false">R6</f>
        <v>1206617</v>
      </c>
      <c r="W6" s="134" t="n">
        <f aca="false">S6</f>
        <v>30846305382</v>
      </c>
      <c r="X6" s="134" t="n">
        <f aca="false">T6</f>
        <v>1575059</v>
      </c>
      <c r="Y6" s="134" t="n">
        <f aca="false">U6</f>
        <v>26356459876</v>
      </c>
      <c r="Z6" s="135"/>
      <c r="AA6" s="132" t="n">
        <f aca="false">X6+V6+T6+R6+P6+N6+L6+J6+H6+F6+D6+B6</f>
        <v>14992241</v>
      </c>
      <c r="AB6" s="132" t="n">
        <f aca="false">Y6+W6+U6+S6+Q6+O6+M6+K6+I6+G6+E6+C6</f>
        <v>283055363117</v>
      </c>
      <c r="AD6" s="136" t="s">
        <v>108</v>
      </c>
      <c r="AE6" s="136" t="n">
        <v>19338325104</v>
      </c>
      <c r="AF6" s="135" t="n">
        <v>289031</v>
      </c>
      <c r="AG6" s="135" t="n">
        <v>20930962664</v>
      </c>
      <c r="AH6" s="135" t="n">
        <v>183570</v>
      </c>
      <c r="AI6" s="135" t="n">
        <v>351918138710</v>
      </c>
      <c r="AJ6" s="135" t="n">
        <v>268923</v>
      </c>
      <c r="AK6" s="135" t="n">
        <v>21496989321</v>
      </c>
      <c r="AL6" s="135" t="n">
        <v>230722</v>
      </c>
      <c r="AM6" s="135" t="n">
        <v>26033547427</v>
      </c>
      <c r="AN6" s="135" t="n">
        <v>226952</v>
      </c>
      <c r="AO6" s="135" t="n">
        <v>18015056219</v>
      </c>
    </row>
    <row r="7" customFormat="false" ht="16.5" hidden="false" customHeight="true" outlineLevel="0" collapsed="false">
      <c r="A7" s="131" t="s">
        <v>109</v>
      </c>
      <c r="B7" s="132" t="n">
        <v>569273</v>
      </c>
      <c r="C7" s="132" t="n">
        <v>11775847480</v>
      </c>
      <c r="D7" s="132" t="n">
        <v>413690</v>
      </c>
      <c r="E7" s="132" t="n">
        <v>14923158275</v>
      </c>
      <c r="F7" s="132" t="n">
        <v>483681</v>
      </c>
      <c r="G7" s="132" t="n">
        <v>14923158275</v>
      </c>
      <c r="H7" s="132" t="n">
        <v>448949</v>
      </c>
      <c r="I7" s="132" t="n">
        <v>13088846058</v>
      </c>
      <c r="J7" s="132" t="n">
        <v>634186</v>
      </c>
      <c r="K7" s="132" t="n">
        <v>15505927387</v>
      </c>
      <c r="L7" s="132" t="n">
        <v>518574</v>
      </c>
      <c r="M7" s="132" t="n">
        <v>518574</v>
      </c>
      <c r="N7" s="132" t="n">
        <v>773343</v>
      </c>
      <c r="O7" s="132" t="n">
        <v>16600522114.81</v>
      </c>
      <c r="P7" s="132" t="n">
        <v>618860</v>
      </c>
      <c r="Q7" s="132" t="n">
        <v>15091972043.29</v>
      </c>
      <c r="R7" s="132" t="n">
        <v>685414</v>
      </c>
      <c r="S7" s="132" t="n">
        <v>16926286723.8</v>
      </c>
      <c r="T7" s="132" t="n">
        <v>783239</v>
      </c>
      <c r="U7" s="133" t="n">
        <v>14876957993.15</v>
      </c>
      <c r="V7" s="134" t="n">
        <f aca="false">R7</f>
        <v>685414</v>
      </c>
      <c r="W7" s="134" t="n">
        <f aca="false">S7</f>
        <v>16926286723.8</v>
      </c>
      <c r="X7" s="134" t="n">
        <f aca="false">T7</f>
        <v>783239</v>
      </c>
      <c r="Y7" s="134" t="n">
        <f aca="false">U7</f>
        <v>14876957993.15</v>
      </c>
      <c r="Z7" s="135"/>
      <c r="AA7" s="132" t="n">
        <f aca="false">X7+V7+T7+R7+P7+N7+L7+J7+H7+F7+D7+B7</f>
        <v>7397862</v>
      </c>
      <c r="AB7" s="132" t="n">
        <f aca="false">Y7+W7+U7+S7+Q7+O7+M7+K7+I7+G7+E7+C7</f>
        <v>165516439641</v>
      </c>
      <c r="AD7" s="137" t="n">
        <v>284337</v>
      </c>
      <c r="AE7" s="135" t="n">
        <v>9124973811103</v>
      </c>
      <c r="AF7" s="135"/>
      <c r="AG7" s="135"/>
      <c r="AH7" s="135"/>
      <c r="AI7" s="135"/>
      <c r="AJ7" s="135"/>
      <c r="AK7" s="135"/>
      <c r="AL7" s="135"/>
      <c r="AM7" s="135"/>
      <c r="AN7" s="135"/>
      <c r="AO7" s="135"/>
    </row>
    <row r="8" customFormat="false" ht="16.5" hidden="false" customHeight="true" outlineLevel="0" collapsed="false">
      <c r="A8" s="131" t="s">
        <v>110</v>
      </c>
      <c r="B8" s="132" t="n">
        <v>0</v>
      </c>
      <c r="C8" s="132" t="n">
        <v>0</v>
      </c>
      <c r="D8" s="132" t="n">
        <v>0</v>
      </c>
      <c r="E8" s="132" t="n">
        <v>0</v>
      </c>
      <c r="F8" s="132" t="n">
        <v>0</v>
      </c>
      <c r="G8" s="132" t="n">
        <v>0</v>
      </c>
      <c r="H8" s="132" t="n">
        <v>0</v>
      </c>
      <c r="I8" s="132" t="n">
        <v>0</v>
      </c>
      <c r="J8" s="132" t="n">
        <v>0</v>
      </c>
      <c r="K8" s="132" t="n">
        <v>0</v>
      </c>
      <c r="L8" s="132" t="n">
        <v>0</v>
      </c>
      <c r="M8" s="132" t="n">
        <v>0</v>
      </c>
      <c r="N8" s="132" t="n">
        <v>0</v>
      </c>
      <c r="O8" s="132" t="n">
        <v>0</v>
      </c>
      <c r="P8" s="132" t="n">
        <v>0</v>
      </c>
      <c r="Q8" s="132" t="n">
        <v>0</v>
      </c>
      <c r="R8" s="132" t="n">
        <v>0</v>
      </c>
      <c r="S8" s="132" t="n">
        <v>0</v>
      </c>
      <c r="T8" s="132" t="n">
        <v>0</v>
      </c>
      <c r="U8" s="132" t="n">
        <v>0</v>
      </c>
      <c r="V8" s="132" t="n">
        <v>0</v>
      </c>
      <c r="W8" s="132" t="n">
        <v>0</v>
      </c>
      <c r="X8" s="132" t="n">
        <v>0</v>
      </c>
      <c r="Y8" s="132" t="n">
        <v>0</v>
      </c>
      <c r="Z8" s="135"/>
      <c r="AA8" s="132" t="n">
        <f aca="false">X8+V8+T8+R8+P8+N8+L8+J8+H8+F8+D8+B8</f>
        <v>0</v>
      </c>
      <c r="AB8" s="132" t="n">
        <f aca="false">Y8+W8+U8+S8+Q8+O8+M8+K8+I8+G8+E8+C8</f>
        <v>0</v>
      </c>
      <c r="AD8" s="137" t="n">
        <v>0</v>
      </c>
      <c r="AE8" s="135" t="n">
        <v>0</v>
      </c>
      <c r="AF8" s="135" t="n">
        <v>0</v>
      </c>
      <c r="AG8" s="135" t="n">
        <v>0</v>
      </c>
      <c r="AH8" s="135" t="n">
        <v>0</v>
      </c>
      <c r="AI8" s="135" t="n">
        <v>0</v>
      </c>
      <c r="AJ8" s="135" t="n">
        <v>0</v>
      </c>
      <c r="AK8" s="135" t="n">
        <v>0</v>
      </c>
      <c r="AL8" s="135" t="n">
        <v>0</v>
      </c>
      <c r="AM8" s="135" t="n">
        <v>0</v>
      </c>
      <c r="AN8" s="135" t="n">
        <v>0</v>
      </c>
      <c r="AO8" s="135" t="n">
        <v>0</v>
      </c>
    </row>
    <row r="9" customFormat="false" ht="16.5" hidden="false" customHeight="true" outlineLevel="0" collapsed="false">
      <c r="A9" s="131" t="s">
        <v>111</v>
      </c>
      <c r="B9" s="132" t="n">
        <v>1539681</v>
      </c>
      <c r="C9" s="132" t="n">
        <v>18838307934</v>
      </c>
      <c r="D9" s="132" t="n">
        <v>1538756</v>
      </c>
      <c r="E9" s="132" t="n">
        <v>12719745777</v>
      </c>
      <c r="F9" s="132" t="n">
        <v>1562934</v>
      </c>
      <c r="G9" s="132" t="n">
        <v>20402404653</v>
      </c>
      <c r="H9" s="132" t="n">
        <v>1704215</v>
      </c>
      <c r="I9" s="132" t="n">
        <v>18282408637</v>
      </c>
      <c r="J9" s="132" t="n">
        <v>1792300</v>
      </c>
      <c r="K9" s="132" t="n">
        <v>19528477093</v>
      </c>
      <c r="L9" s="132" t="n">
        <v>1370725</v>
      </c>
      <c r="M9" s="132" t="n">
        <v>1370725</v>
      </c>
      <c r="N9" s="132" t="n">
        <v>1249738</v>
      </c>
      <c r="O9" s="132" t="n">
        <v>23020426263</v>
      </c>
      <c r="P9" s="132" t="n">
        <v>1483956</v>
      </c>
      <c r="Q9" s="132" t="n">
        <v>18716096816</v>
      </c>
      <c r="R9" s="132" t="n">
        <v>1742910</v>
      </c>
      <c r="S9" s="132" t="n">
        <v>17090069528</v>
      </c>
      <c r="T9" s="132" t="n">
        <v>1652596</v>
      </c>
      <c r="U9" s="133" t="n">
        <v>16587760197</v>
      </c>
      <c r="V9" s="134" t="n">
        <f aca="false">R9</f>
        <v>1742910</v>
      </c>
      <c r="W9" s="134" t="n">
        <f aca="false">S9</f>
        <v>17090069528</v>
      </c>
      <c r="X9" s="134" t="n">
        <f aca="false">T9</f>
        <v>1652596</v>
      </c>
      <c r="Y9" s="134" t="n">
        <f aca="false">U9</f>
        <v>16587760197</v>
      </c>
      <c r="Z9" s="135"/>
      <c r="AA9" s="132" t="n">
        <f aca="false">X9+V9+T9+R9+P9+N9+L9+J9+H9+F9+D9+B9</f>
        <v>19033317</v>
      </c>
      <c r="AB9" s="132" t="n">
        <f aca="false">Y9+W9+U9+S9+Q9+O9+M9+K9+I9+G9+E9+C9</f>
        <v>198864897348</v>
      </c>
      <c r="AD9" s="137" t="n">
        <v>284337</v>
      </c>
      <c r="AE9" s="135" t="n">
        <v>16745360562</v>
      </c>
      <c r="AF9" s="135" t="n">
        <v>289031</v>
      </c>
      <c r="AG9" s="135" t="n">
        <v>20579438356</v>
      </c>
      <c r="AH9" s="135" t="n">
        <v>183570</v>
      </c>
      <c r="AI9" s="135" t="n">
        <v>21169241839</v>
      </c>
      <c r="AJ9" s="135" t="n">
        <v>268923</v>
      </c>
      <c r="AK9" s="135" t="n">
        <v>27556715192</v>
      </c>
      <c r="AL9" s="135" t="n">
        <v>230722</v>
      </c>
      <c r="AM9" s="135" t="n">
        <v>20874092280</v>
      </c>
      <c r="AN9" s="135" t="n">
        <v>226952</v>
      </c>
      <c r="AO9" s="135" t="n">
        <v>12786346615</v>
      </c>
    </row>
    <row r="10" customFormat="false" ht="16.5" hidden="false" customHeight="true" outlineLevel="0" collapsed="false">
      <c r="A10" s="131" t="s">
        <v>112</v>
      </c>
      <c r="B10" s="132" t="n">
        <f aca="false">SUM(B11:B25)</f>
        <v>2367718</v>
      </c>
      <c r="C10" s="132" t="n">
        <f aca="false">SUM(C11:C25)</f>
        <v>3419958301</v>
      </c>
      <c r="D10" s="132" t="n">
        <f aca="false">SUM(D11:D25)</f>
        <v>2649686</v>
      </c>
      <c r="E10" s="132" t="n">
        <f aca="false">SUM(E11:E25)</f>
        <v>2677304046</v>
      </c>
      <c r="F10" s="132" t="n">
        <f aca="false">SUM(F11:F25)</f>
        <v>3034091</v>
      </c>
      <c r="G10" s="132" t="n">
        <f aca="false">SUM(G11:G25)</f>
        <v>3478840206</v>
      </c>
      <c r="H10" s="132" t="n">
        <f aca="false">SUM(H11:H25)</f>
        <v>3020188</v>
      </c>
      <c r="I10" s="132" t="n">
        <f aca="false">SUM(I11:I25)</f>
        <v>3650641636</v>
      </c>
      <c r="J10" s="132" t="n">
        <f aca="false">SUM(J11:J25)</f>
        <v>2648958</v>
      </c>
      <c r="K10" s="132" t="n">
        <f aca="false">SUM(K11:K25)</f>
        <v>4532261688</v>
      </c>
      <c r="L10" s="132" t="n">
        <f aca="false">SUM(L11:L25)</f>
        <v>3209406</v>
      </c>
      <c r="M10" s="132" t="n">
        <f aca="false">SUM(M11:M25)</f>
        <v>3209406</v>
      </c>
      <c r="N10" s="132" t="n">
        <f aca="false">SUM(N11:N25)</f>
        <v>2246996</v>
      </c>
      <c r="O10" s="132" t="n">
        <f aca="false">SUM(O11:O25)</f>
        <v>3748080877</v>
      </c>
      <c r="P10" s="132" t="n">
        <f aca="false">SUM(P11:P25)</f>
        <v>3237483</v>
      </c>
      <c r="Q10" s="132" t="n">
        <f aca="false">SUM(Q11:Q25)</f>
        <v>3910068208</v>
      </c>
      <c r="R10" s="132" t="n">
        <f aca="false">SUM(R11:R25)</f>
        <v>3213387</v>
      </c>
      <c r="S10" s="132" t="n">
        <f aca="false">SUM(S11:S25)</f>
        <v>4817062949</v>
      </c>
      <c r="T10" s="132" t="n">
        <f aca="false">SUM(T11:T25)</f>
        <v>3781773</v>
      </c>
      <c r="U10" s="133" t="n">
        <f aca="false">SUM(U11:U25)</f>
        <v>3737039922</v>
      </c>
      <c r="V10" s="134" t="n">
        <f aca="false">R10</f>
        <v>3213387</v>
      </c>
      <c r="W10" s="134" t="n">
        <f aca="false">S10</f>
        <v>4817062949</v>
      </c>
      <c r="X10" s="134" t="n">
        <f aca="false">T10</f>
        <v>3781773</v>
      </c>
      <c r="Y10" s="134" t="n">
        <f aca="false">U10</f>
        <v>3737039922</v>
      </c>
      <c r="Z10" s="135"/>
      <c r="AA10" s="132" t="n">
        <f aca="false">X10+V10+T10+R10+P10+N10+L10+J10+H10+F10+D10+B10</f>
        <v>36404846</v>
      </c>
      <c r="AB10" s="132" t="n">
        <f aca="false">Y10+W10+U10+S10+Q10+O10+M10+K10+I10+G10+E10+C10</f>
        <v>42528570110</v>
      </c>
      <c r="AD10" s="137" t="n">
        <v>97779</v>
      </c>
      <c r="AE10" s="135" t="n">
        <v>6806928476</v>
      </c>
      <c r="AF10" s="135" t="n">
        <v>84436</v>
      </c>
      <c r="AG10" s="135" t="n">
        <v>20579438356</v>
      </c>
      <c r="AH10" s="135" t="n">
        <v>114052</v>
      </c>
      <c r="AI10" s="135" t="n">
        <v>21169241839</v>
      </c>
      <c r="AJ10" s="135" t="n">
        <v>108708</v>
      </c>
      <c r="AK10" s="135" t="n">
        <v>27556715192</v>
      </c>
      <c r="AL10" s="135" t="n">
        <v>85768</v>
      </c>
      <c r="AM10" s="135" t="n">
        <v>20874092280</v>
      </c>
      <c r="AN10" s="135" t="n">
        <v>88389</v>
      </c>
      <c r="AO10" s="135" t="n">
        <v>12786346615</v>
      </c>
    </row>
    <row r="11" customFormat="false" ht="16.5" hidden="false" customHeight="true" outlineLevel="0" collapsed="false">
      <c r="A11" s="131" t="s">
        <v>113</v>
      </c>
      <c r="B11" s="132" t="n">
        <v>0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5"/>
      <c r="AA11" s="132" t="n">
        <f aca="false">X11+V11+T11+R11+P11+N11+L11+J11+H11+F11+D11+B11</f>
        <v>0</v>
      </c>
      <c r="AB11" s="132" t="n">
        <f aca="false">Y11+W11+U11+S11+Q11+O11+M11+K11+I11+G11+E11+C11</f>
        <v>0</v>
      </c>
      <c r="AD11" s="137" t="n">
        <f aca="false">-AE11</f>
        <v>-0</v>
      </c>
      <c r="AE11" s="135" t="n">
        <v>0</v>
      </c>
      <c r="AF11" s="135" t="n">
        <v>0</v>
      </c>
      <c r="AG11" s="135" t="n">
        <v>0</v>
      </c>
      <c r="AH11" s="135" t="n">
        <f aca="false">-AI21</f>
        <v>-0</v>
      </c>
      <c r="AI11" s="135"/>
      <c r="AJ11" s="135" t="n">
        <v>0</v>
      </c>
      <c r="AK11" s="135" t="n">
        <v>0</v>
      </c>
      <c r="AL11" s="135" t="n">
        <v>0</v>
      </c>
      <c r="AM11" s="135" t="n">
        <v>0</v>
      </c>
      <c r="AN11" s="135" t="n">
        <v>0</v>
      </c>
      <c r="AO11" s="135" t="n">
        <v>0</v>
      </c>
    </row>
    <row r="12" customFormat="false" ht="16.5" hidden="false" customHeight="true" outlineLevel="0" collapsed="false">
      <c r="A12" s="131" t="s">
        <v>114</v>
      </c>
      <c r="B12" s="132" t="n">
        <v>0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5"/>
      <c r="AA12" s="132" t="n">
        <f aca="false">X12+V12+T12+R12+P12+N12+L12+J12+H12+F12+D12+B12</f>
        <v>0</v>
      </c>
      <c r="AB12" s="132" t="n">
        <f aca="false">Y12+W12+U12+S12+Q12+O12+M12+K12+I12+G12+E12+C12</f>
        <v>0</v>
      </c>
      <c r="AD12" s="137" t="n">
        <f aca="false">-AE12</f>
        <v>-0</v>
      </c>
      <c r="AE12" s="135" t="n">
        <f aca="false">-AE16</f>
        <v>0</v>
      </c>
      <c r="AF12" s="135" t="n">
        <v>0</v>
      </c>
      <c r="AG12" s="135" t="n">
        <v>0</v>
      </c>
      <c r="AH12" s="135" t="n">
        <f aca="false">-AI22</f>
        <v>-0</v>
      </c>
      <c r="AI12" s="135" t="n">
        <v>0</v>
      </c>
      <c r="AJ12" s="135" t="n">
        <v>0</v>
      </c>
      <c r="AK12" s="135" t="n">
        <v>0</v>
      </c>
      <c r="AL12" s="135" t="n">
        <v>0</v>
      </c>
      <c r="AM12" s="135" t="n">
        <v>0</v>
      </c>
      <c r="AN12" s="135" t="n">
        <f aca="false">-AL17</f>
        <v>0</v>
      </c>
      <c r="AO12" s="135" t="n">
        <v>0</v>
      </c>
    </row>
    <row r="13" customFormat="false" ht="16.5" hidden="false" customHeight="true" outlineLevel="0" collapsed="false">
      <c r="A13" s="131" t="s">
        <v>115</v>
      </c>
      <c r="B13" s="132" t="n">
        <v>7376</v>
      </c>
      <c r="C13" s="132" t="n">
        <v>46894555</v>
      </c>
      <c r="D13" s="132" t="n">
        <v>7842</v>
      </c>
      <c r="E13" s="132" t="n">
        <v>61919634</v>
      </c>
      <c r="F13" s="132" t="n">
        <v>6850</v>
      </c>
      <c r="G13" s="132" t="n">
        <v>51296043</v>
      </c>
      <c r="H13" s="132" t="n">
        <v>7436</v>
      </c>
      <c r="I13" s="132" t="n">
        <v>69396175</v>
      </c>
      <c r="J13" s="132" t="n">
        <v>11718</v>
      </c>
      <c r="K13" s="132" t="n">
        <v>66352427</v>
      </c>
      <c r="L13" s="132" t="n">
        <v>9149</v>
      </c>
      <c r="M13" s="132" t="n">
        <v>9149</v>
      </c>
      <c r="N13" s="132" t="n">
        <v>8715</v>
      </c>
      <c r="O13" s="132" t="n">
        <v>66254895</v>
      </c>
      <c r="P13" s="132" t="n">
        <v>12026</v>
      </c>
      <c r="Q13" s="132" t="n">
        <v>55675120</v>
      </c>
      <c r="R13" s="132" t="n">
        <v>10560</v>
      </c>
      <c r="S13" s="132" t="s">
        <v>116</v>
      </c>
      <c r="T13" s="132" t="n">
        <v>13998</v>
      </c>
      <c r="U13" s="132" t="n">
        <v>72314699</v>
      </c>
      <c r="V13" s="132" t="n">
        <v>0</v>
      </c>
      <c r="W13" s="132" t="n">
        <v>0</v>
      </c>
      <c r="X13" s="132" t="n">
        <v>0</v>
      </c>
      <c r="Y13" s="132" t="s">
        <v>116</v>
      </c>
      <c r="Z13" s="135"/>
      <c r="AA13" s="132" t="n">
        <f aca="false">X13+V13+T13+R13+P13+N13+L13+J13+H13+F13+D13+B13</f>
        <v>95670</v>
      </c>
      <c r="AB13" s="132" t="e">
        <f aca="false">Y13+W13+U13+S13+Q13+O13+M13+K13+I13+G13+E13+C13</f>
        <v>#VALUE!</v>
      </c>
      <c r="AD13" s="137" t="s">
        <v>117</v>
      </c>
      <c r="AE13" s="138" t="n">
        <v>105705028</v>
      </c>
      <c r="AF13" s="135" t="s">
        <v>118</v>
      </c>
      <c r="AG13" s="139" t="n">
        <v>67347318</v>
      </c>
      <c r="AH13" s="140" t="s">
        <v>119</v>
      </c>
      <c r="AI13" s="135" t="s">
        <v>120</v>
      </c>
      <c r="AJ13" s="135" t="s">
        <v>121</v>
      </c>
      <c r="AK13" s="138" t="n">
        <v>94319653</v>
      </c>
      <c r="AL13" s="135" t="s">
        <v>122</v>
      </c>
      <c r="AM13" s="138" t="n">
        <v>130667726</v>
      </c>
      <c r="AN13" s="135" t="s">
        <v>123</v>
      </c>
      <c r="AO13" s="138" t="n">
        <v>106209461</v>
      </c>
    </row>
    <row r="14" customFormat="false" ht="16.5" hidden="false" customHeight="true" outlineLevel="0" collapsed="false">
      <c r="A14" s="131" t="s">
        <v>124</v>
      </c>
      <c r="B14" s="132" t="n">
        <v>2190099</v>
      </c>
      <c r="C14" s="132" t="n">
        <v>954837451</v>
      </c>
      <c r="D14" s="132" t="n">
        <v>2456041</v>
      </c>
      <c r="E14" s="132" t="n">
        <v>716844689</v>
      </c>
      <c r="F14" s="132" t="n">
        <v>2815273</v>
      </c>
      <c r="G14" s="132" t="n">
        <v>1097730066</v>
      </c>
      <c r="H14" s="132" t="n">
        <v>2817652</v>
      </c>
      <c r="I14" s="132" t="n">
        <v>802841181</v>
      </c>
      <c r="J14" s="132" t="n">
        <v>2489059</v>
      </c>
      <c r="K14" s="132" t="n">
        <v>1424403157</v>
      </c>
      <c r="L14" s="132" t="n">
        <v>3070698</v>
      </c>
      <c r="M14" s="132" t="n">
        <v>3070698</v>
      </c>
      <c r="N14" s="132" t="n">
        <v>2125293</v>
      </c>
      <c r="O14" s="132" t="n">
        <v>1072977290</v>
      </c>
      <c r="P14" s="132" t="n">
        <v>3031840</v>
      </c>
      <c r="Q14" s="132" t="n">
        <v>1219466819</v>
      </c>
      <c r="R14" s="132" t="n">
        <v>2983674</v>
      </c>
      <c r="S14" s="132" t="n">
        <v>1091941361</v>
      </c>
      <c r="T14" s="132" t="n">
        <v>3581150</v>
      </c>
      <c r="U14" s="133" t="n">
        <v>1117390040</v>
      </c>
      <c r="V14" s="134" t="n">
        <f aca="false">R14</f>
        <v>2983674</v>
      </c>
      <c r="W14" s="134" t="n">
        <f aca="false">S14</f>
        <v>1091941361</v>
      </c>
      <c r="X14" s="134" t="n">
        <f aca="false">T14</f>
        <v>3581150</v>
      </c>
      <c r="Y14" s="134" t="n">
        <f aca="false">U14</f>
        <v>1117390040</v>
      </c>
      <c r="Z14" s="135"/>
      <c r="AA14" s="132" t="n">
        <f aca="false">X14+V14+T14+R14+P14+N14+L14+J14+H14+F14+D14+B14</f>
        <v>34125603</v>
      </c>
      <c r="AB14" s="132" t="n">
        <f aca="false">Y14+W14+U14+S14+Q14+O14+M14+K14+I14+G14+E14+C14</f>
        <v>11710834153</v>
      </c>
      <c r="AD14" s="136" t="s">
        <v>125</v>
      </c>
      <c r="AE14" s="141" t="s">
        <v>126</v>
      </c>
      <c r="AF14" s="140" t="s">
        <v>127</v>
      </c>
      <c r="AG14" s="142" t="s">
        <v>128</v>
      </c>
      <c r="AH14" s="143" t="s">
        <v>129</v>
      </c>
      <c r="AI14" s="138" t="n">
        <v>124625345</v>
      </c>
      <c r="AJ14" s="140" t="s">
        <v>130</v>
      </c>
      <c r="AK14" s="140" t="s">
        <v>131</v>
      </c>
      <c r="AL14" s="140" t="s">
        <v>132</v>
      </c>
      <c r="AM14" s="140" t="s">
        <v>133</v>
      </c>
      <c r="AN14" s="140" t="s">
        <v>134</v>
      </c>
      <c r="AO14" s="140" t="n">
        <v>581596137</v>
      </c>
    </row>
    <row r="15" customFormat="false" ht="16.5" hidden="false" customHeight="true" outlineLevel="0" collapsed="false">
      <c r="A15" s="131" t="s">
        <v>135</v>
      </c>
      <c r="B15" s="132" t="n">
        <v>14404</v>
      </c>
      <c r="C15" s="132" t="n">
        <v>126739038</v>
      </c>
      <c r="D15" s="132" t="n">
        <v>18635</v>
      </c>
      <c r="E15" s="132" t="n">
        <v>217264877</v>
      </c>
      <c r="F15" s="132" t="n">
        <v>26564</v>
      </c>
      <c r="G15" s="132" t="n">
        <v>170558988</v>
      </c>
      <c r="H15" s="132" t="n">
        <v>17407</v>
      </c>
      <c r="I15" s="132" t="n">
        <v>173141728</v>
      </c>
      <c r="J15" s="132" t="n">
        <v>16222</v>
      </c>
      <c r="K15" s="132" t="n">
        <v>192554139</v>
      </c>
      <c r="L15" s="132" t="n">
        <v>14077</v>
      </c>
      <c r="M15" s="132" t="n">
        <v>14077</v>
      </c>
      <c r="N15" s="132" t="n">
        <v>15483</v>
      </c>
      <c r="O15" s="132" t="n">
        <v>181961451</v>
      </c>
      <c r="P15" s="132" t="n">
        <v>17749</v>
      </c>
      <c r="Q15" s="132" t="n">
        <v>220485467</v>
      </c>
      <c r="R15" s="132" t="n">
        <v>15959</v>
      </c>
      <c r="S15" s="132" t="n">
        <v>148907604</v>
      </c>
      <c r="T15" s="132" t="n">
        <v>25979</v>
      </c>
      <c r="U15" s="132" t="n">
        <v>173995570</v>
      </c>
      <c r="V15" s="132" t="s">
        <v>136</v>
      </c>
      <c r="W15" s="138" t="n">
        <v>88850960</v>
      </c>
      <c r="X15" s="132" t="s">
        <v>137</v>
      </c>
      <c r="Y15" s="138" t="n">
        <v>107911895</v>
      </c>
      <c r="Z15" s="135"/>
      <c r="AA15" s="132" t="n">
        <f aca="false">X15+V15+T15+R15+P15+N15+L15+J15+H15+F15+D15+B15</f>
        <v>237537</v>
      </c>
      <c r="AB15" s="132" t="n">
        <f aca="false">Y15+W15+U15+S15+Q15+O15+M15+K15+I15+G15+E15+C15</f>
        <v>1802385794</v>
      </c>
      <c r="AD15" s="144" t="s">
        <v>138</v>
      </c>
      <c r="AE15" s="145" t="n">
        <v>166292686</v>
      </c>
      <c r="AF15" s="146" t="s">
        <v>139</v>
      </c>
      <c r="AG15" s="138" t="n">
        <v>171538623</v>
      </c>
      <c r="AH15" s="147" t="s">
        <v>140</v>
      </c>
      <c r="AI15" s="145" t="n">
        <v>171133703</v>
      </c>
      <c r="AJ15" s="146" t="s">
        <v>141</v>
      </c>
      <c r="AK15" s="145" t="n">
        <v>182236531</v>
      </c>
      <c r="AL15" s="146" t="s">
        <v>142</v>
      </c>
      <c r="AM15" s="145" t="n">
        <v>219886555</v>
      </c>
      <c r="AN15" s="146" t="s">
        <v>143</v>
      </c>
      <c r="AO15" s="145" t="n">
        <v>131238121</v>
      </c>
    </row>
    <row r="16" customFormat="false" ht="16.5" hidden="false" customHeight="true" outlineLevel="0" collapsed="false">
      <c r="A16" s="131" t="s">
        <v>144</v>
      </c>
      <c r="B16" s="132" t="n">
        <v>29725</v>
      </c>
      <c r="C16" s="132" t="n">
        <v>1818597002</v>
      </c>
      <c r="D16" s="132" t="n">
        <v>14400</v>
      </c>
      <c r="E16" s="132" t="n">
        <v>1262585840</v>
      </c>
      <c r="F16" s="132" t="n">
        <v>16135</v>
      </c>
      <c r="G16" s="132" t="n">
        <v>1502961869</v>
      </c>
      <c r="H16" s="132" t="n">
        <v>19497</v>
      </c>
      <c r="I16" s="132" t="n">
        <v>1895134447</v>
      </c>
      <c r="J16" s="132" t="n">
        <v>16612</v>
      </c>
      <c r="K16" s="132" t="n">
        <v>2182228015</v>
      </c>
      <c r="L16" s="132" t="n">
        <v>20925</v>
      </c>
      <c r="M16" s="132" t="n">
        <v>20925</v>
      </c>
      <c r="N16" s="132" t="n">
        <v>24729</v>
      </c>
      <c r="O16" s="132" t="n">
        <v>1946690706</v>
      </c>
      <c r="P16" s="132" t="n">
        <v>8771</v>
      </c>
      <c r="Q16" s="132" t="n">
        <v>1740597230</v>
      </c>
      <c r="R16" s="132" t="n">
        <v>8802</v>
      </c>
      <c r="S16" s="132" t="n">
        <v>2544418342</v>
      </c>
      <c r="T16" s="132" t="n">
        <v>8102</v>
      </c>
      <c r="U16" s="132" t="n">
        <v>1688832897</v>
      </c>
      <c r="V16" s="132" t="n">
        <v>0</v>
      </c>
      <c r="W16" s="132" t="n">
        <v>0</v>
      </c>
      <c r="X16" s="132" t="n">
        <v>0</v>
      </c>
      <c r="Y16" s="132" t="n">
        <v>0</v>
      </c>
      <c r="Z16" s="135"/>
      <c r="AA16" s="132" t="n">
        <f aca="false">X16+V16+T16+R16+P16+N16+L16+J16+H16+F16+D16+B16</f>
        <v>167698</v>
      </c>
      <c r="AB16" s="132" t="n">
        <f aca="false">Y16+W16+U16+S16+Q16+O16+M16+K16+I16+G16+E16+C16</f>
        <v>16582067273</v>
      </c>
      <c r="AD16" s="137" t="n">
        <f aca="false">-AE16</f>
        <v>0</v>
      </c>
      <c r="AE16" s="135" t="n">
        <f aca="false">-AE20</f>
        <v>-0</v>
      </c>
      <c r="AF16" s="135" t="n">
        <f aca="false">-AG16</f>
        <v>-0</v>
      </c>
      <c r="AG16" s="135" t="n">
        <f aca="false">-AH16--AG19</f>
        <v>0</v>
      </c>
      <c r="AH16" s="135" t="n">
        <f aca="false">-AI26</f>
        <v>-0</v>
      </c>
      <c r="AI16" s="135"/>
      <c r="AJ16" s="135" t="n">
        <f aca="false">-AK16</f>
        <v>-0</v>
      </c>
      <c r="AK16" s="135" t="n">
        <f aca="false">-AM18</f>
        <v>0</v>
      </c>
      <c r="AL16" s="135" t="n">
        <f aca="false">-AH6175</f>
        <v>-0</v>
      </c>
      <c r="AM16" s="135" t="n">
        <f aca="false">-AO16</f>
        <v>-0</v>
      </c>
      <c r="AN16" s="135" t="n">
        <f aca="false">-AL21</f>
        <v>0</v>
      </c>
      <c r="AO16" s="135" t="n">
        <f aca="false">-AL19</f>
        <v>0</v>
      </c>
    </row>
    <row r="17" customFormat="false" ht="16.5" hidden="false" customHeight="true" outlineLevel="0" collapsed="false">
      <c r="A17" s="131" t="s">
        <v>145</v>
      </c>
      <c r="B17" s="132" t="n">
        <v>0</v>
      </c>
      <c r="C17" s="132" t="s">
        <v>116</v>
      </c>
      <c r="D17" s="132" t="n">
        <v>0</v>
      </c>
      <c r="E17" s="132" t="n">
        <v>0</v>
      </c>
      <c r="F17" s="132" t="n">
        <v>0</v>
      </c>
      <c r="G17" s="132" t="n">
        <v>0</v>
      </c>
      <c r="H17" s="132" t="n">
        <v>0</v>
      </c>
      <c r="I17" s="132" t="n">
        <v>0</v>
      </c>
      <c r="J17" s="132" t="n">
        <v>0</v>
      </c>
      <c r="K17" s="132" t="n">
        <v>0</v>
      </c>
      <c r="L17" s="132" t="n">
        <v>0</v>
      </c>
      <c r="M17" s="132" t="n">
        <v>0</v>
      </c>
      <c r="N17" s="132" t="n">
        <v>0</v>
      </c>
      <c r="O17" s="132" t="n">
        <v>0</v>
      </c>
      <c r="P17" s="132" t="n">
        <v>0</v>
      </c>
      <c r="Q17" s="132" t="n">
        <v>0</v>
      </c>
      <c r="R17" s="132" t="n">
        <v>0</v>
      </c>
      <c r="S17" s="132" t="n">
        <v>0</v>
      </c>
      <c r="T17" s="132" t="n">
        <v>0</v>
      </c>
      <c r="U17" s="132" t="n">
        <v>0</v>
      </c>
      <c r="V17" s="132" t="n">
        <v>0</v>
      </c>
      <c r="W17" s="132" t="n">
        <v>0</v>
      </c>
      <c r="X17" s="132" t="n">
        <v>0</v>
      </c>
      <c r="Y17" s="132" t="n">
        <v>0</v>
      </c>
      <c r="Z17" s="135"/>
      <c r="AA17" s="132" t="n">
        <f aca="false">X17+V17+T17+R17+P17+N17+L17+J17+H17+F17+D17+B17</f>
        <v>0</v>
      </c>
      <c r="AB17" s="132" t="e">
        <f aca="false">Y17+W17+U17+S17+Q17+O17+M17+K17+I17+G17+E17+C17</f>
        <v>#VALUE!</v>
      </c>
      <c r="AD17" s="137" t="n">
        <f aca="false">-AE17</f>
        <v>0</v>
      </c>
      <c r="AE17" s="148" t="n">
        <f aca="false">-AE21</f>
        <v>-0</v>
      </c>
      <c r="AF17" s="135" t="n">
        <f aca="false">-AG17</f>
        <v>-0</v>
      </c>
      <c r="AG17" s="135" t="n">
        <f aca="false">-AH17--AG20</f>
        <v>0</v>
      </c>
      <c r="AH17" s="135" t="n">
        <f aca="false">-AI27</f>
        <v>-0</v>
      </c>
      <c r="AI17" s="135"/>
      <c r="AJ17" s="135" t="n">
        <f aca="false">-AK17</f>
        <v>-0</v>
      </c>
      <c r="AK17" s="135" t="n">
        <f aca="false">-AM19</f>
        <v>0</v>
      </c>
      <c r="AL17" s="135" t="n">
        <f aca="false">-AH6176</f>
        <v>-0</v>
      </c>
      <c r="AM17" s="135" t="n">
        <f aca="false">-AO17</f>
        <v>-0</v>
      </c>
      <c r="AN17" s="135" t="n">
        <f aca="false">-AL22</f>
        <v>0</v>
      </c>
      <c r="AO17" s="135" t="n">
        <f aca="false">-AL20</f>
        <v>0</v>
      </c>
    </row>
    <row r="18" customFormat="false" ht="16.5" hidden="false" customHeight="true" outlineLevel="0" collapsed="false">
      <c r="A18" s="131" t="s">
        <v>146</v>
      </c>
      <c r="B18" s="132" t="n">
        <v>0</v>
      </c>
      <c r="C18" s="132" t="n">
        <v>0</v>
      </c>
      <c r="D18" s="132" t="n">
        <v>0</v>
      </c>
      <c r="E18" s="132" t="n">
        <v>0</v>
      </c>
      <c r="F18" s="132" t="n">
        <v>0</v>
      </c>
      <c r="G18" s="132" t="n">
        <v>0</v>
      </c>
      <c r="H18" s="132" t="n">
        <v>0</v>
      </c>
      <c r="I18" s="132" t="n">
        <v>0</v>
      </c>
      <c r="J18" s="132" t="n">
        <v>0</v>
      </c>
      <c r="K18" s="132" t="n">
        <v>0</v>
      </c>
      <c r="L18" s="132" t="n">
        <v>0</v>
      </c>
      <c r="M18" s="132" t="n">
        <v>0</v>
      </c>
      <c r="N18" s="132" t="n">
        <v>0</v>
      </c>
      <c r="O18" s="132" t="n">
        <v>0</v>
      </c>
      <c r="P18" s="132" t="n">
        <v>0</v>
      </c>
      <c r="Q18" s="132" t="n">
        <v>0</v>
      </c>
      <c r="R18" s="132" t="n">
        <v>0</v>
      </c>
      <c r="S18" s="132" t="n">
        <v>0</v>
      </c>
      <c r="T18" s="132" t="n">
        <v>0</v>
      </c>
      <c r="U18" s="132" t="n">
        <v>0</v>
      </c>
      <c r="V18" s="132" t="n">
        <v>0</v>
      </c>
      <c r="W18" s="132" t="n">
        <v>0</v>
      </c>
      <c r="X18" s="132" t="n">
        <v>0</v>
      </c>
      <c r="Y18" s="132" t="n">
        <v>0</v>
      </c>
      <c r="Z18" s="135"/>
      <c r="AA18" s="132" t="n">
        <f aca="false">X18+V18+T18+R18+P18+N18+L18+J18+H18+F18+D18+B18</f>
        <v>0</v>
      </c>
      <c r="AB18" s="132" t="n">
        <f aca="false">Y18+W18+U18+S18+Q18+O18+M18+K18+I18+G18+E18+C18</f>
        <v>0</v>
      </c>
      <c r="AD18" s="137" t="n">
        <f aca="false">-AE18</f>
        <v>0</v>
      </c>
      <c r="AE18" s="135" t="n">
        <f aca="false">-AE22</f>
        <v>-0</v>
      </c>
      <c r="AF18" s="135" t="n">
        <f aca="false">-AG18</f>
        <v>-0</v>
      </c>
      <c r="AG18" s="135" t="n">
        <f aca="false">-AH18--AG21</f>
        <v>0</v>
      </c>
      <c r="AH18" s="135" t="n">
        <f aca="false">-AI28</f>
        <v>-0</v>
      </c>
      <c r="AI18" s="135"/>
      <c r="AJ18" s="135" t="n">
        <f aca="false">-AK18</f>
        <v>-0</v>
      </c>
      <c r="AK18" s="135" t="n">
        <f aca="false">-AM20</f>
        <v>0</v>
      </c>
      <c r="AL18" s="135" t="n">
        <f aca="false">-AH6177</f>
        <v>-0</v>
      </c>
      <c r="AM18" s="135" t="n">
        <f aca="false">-AO18</f>
        <v>-0</v>
      </c>
      <c r="AN18" s="135" t="n">
        <f aca="false">-AL23</f>
        <v>0</v>
      </c>
      <c r="AO18" s="135" t="n">
        <f aca="false">-AL21</f>
        <v>0</v>
      </c>
    </row>
    <row r="19" customFormat="false" ht="16.5" hidden="false" customHeight="true" outlineLevel="0" collapsed="false">
      <c r="A19" s="131" t="s">
        <v>147</v>
      </c>
      <c r="B19" s="132" t="n">
        <v>0</v>
      </c>
      <c r="C19" s="132" t="n">
        <v>0</v>
      </c>
      <c r="D19" s="132" t="n">
        <v>0</v>
      </c>
      <c r="E19" s="132" t="n">
        <v>0</v>
      </c>
      <c r="F19" s="132" t="n">
        <v>0</v>
      </c>
      <c r="G19" s="132" t="n">
        <v>0</v>
      </c>
      <c r="H19" s="132" t="n">
        <v>0</v>
      </c>
      <c r="I19" s="132" t="n">
        <v>0</v>
      </c>
      <c r="J19" s="132" t="n">
        <v>0</v>
      </c>
      <c r="K19" s="132" t="n">
        <v>0</v>
      </c>
      <c r="L19" s="132" t="n">
        <v>0</v>
      </c>
      <c r="M19" s="132" t="n">
        <v>0</v>
      </c>
      <c r="N19" s="132" t="n">
        <v>0</v>
      </c>
      <c r="O19" s="132" t="n">
        <v>0</v>
      </c>
      <c r="P19" s="132" t="n">
        <v>0</v>
      </c>
      <c r="Q19" s="132" t="n">
        <v>0</v>
      </c>
      <c r="R19" s="132" t="n">
        <v>0</v>
      </c>
      <c r="S19" s="132" t="n">
        <v>0</v>
      </c>
      <c r="T19" s="132" t="n">
        <v>0</v>
      </c>
      <c r="U19" s="132" t="n">
        <v>0</v>
      </c>
      <c r="V19" s="132" t="n">
        <v>0</v>
      </c>
      <c r="W19" s="132" t="n">
        <v>0</v>
      </c>
      <c r="X19" s="132" t="n">
        <v>0</v>
      </c>
      <c r="Y19" s="132" t="n">
        <v>0</v>
      </c>
      <c r="Z19" s="135"/>
      <c r="AA19" s="132" t="n">
        <f aca="false">X19+V19+T19+R19+P19+N19+L19+J19+H19+F19+D19+B19</f>
        <v>0</v>
      </c>
      <c r="AB19" s="132" t="n">
        <f aca="false">Y19+W19+U19+S19+Q19+O19+M19+K19+I19+G19+E19+C19</f>
        <v>0</v>
      </c>
      <c r="AD19" s="137" t="n">
        <f aca="false">-AE19</f>
        <v>0</v>
      </c>
      <c r="AE19" s="135" t="n">
        <f aca="false">-AE23</f>
        <v>-0</v>
      </c>
      <c r="AF19" s="135" t="n">
        <f aca="false">-AG19</f>
        <v>-0</v>
      </c>
      <c r="AG19" s="135" t="n">
        <f aca="false">-AH19--AG22</f>
        <v>0</v>
      </c>
      <c r="AH19" s="135" t="n">
        <f aca="false">-AI29</f>
        <v>-0</v>
      </c>
      <c r="AI19" s="135"/>
      <c r="AJ19" s="135" t="n">
        <f aca="false">-AK19</f>
        <v>0</v>
      </c>
      <c r="AK19" s="135" t="n">
        <f aca="false">-AM21</f>
        <v>-0</v>
      </c>
      <c r="AL19" s="135" t="n">
        <f aca="false">-AH6178</f>
        <v>-0</v>
      </c>
      <c r="AM19" s="135" t="n">
        <f aca="false">-AO19</f>
        <v>-0</v>
      </c>
      <c r="AN19" s="135" t="n">
        <v>0</v>
      </c>
      <c r="AO19" s="135" t="n">
        <f aca="false">-AL22</f>
        <v>0</v>
      </c>
    </row>
    <row r="20" customFormat="false" ht="16.5" hidden="false" customHeight="true" outlineLevel="0" collapsed="false">
      <c r="A20" s="131" t="s">
        <v>148</v>
      </c>
      <c r="B20" s="132" t="n">
        <v>126114</v>
      </c>
      <c r="C20" s="132" t="n">
        <v>472890255</v>
      </c>
      <c r="D20" s="132" t="n">
        <v>152768</v>
      </c>
      <c r="E20" s="132" t="n">
        <v>418689006</v>
      </c>
      <c r="F20" s="132" t="n">
        <v>169269</v>
      </c>
      <c r="G20" s="132" t="n">
        <v>656293240</v>
      </c>
      <c r="H20" s="132" t="n">
        <v>158196</v>
      </c>
      <c r="I20" s="132" t="n">
        <v>710128105</v>
      </c>
      <c r="J20" s="132" t="n">
        <v>115347</v>
      </c>
      <c r="K20" s="132" t="n">
        <v>666723950</v>
      </c>
      <c r="L20" s="132" t="n">
        <v>94557</v>
      </c>
      <c r="M20" s="132" t="n">
        <v>94557</v>
      </c>
      <c r="N20" s="132" t="n">
        <v>72776</v>
      </c>
      <c r="O20" s="132" t="n">
        <v>480196535</v>
      </c>
      <c r="P20" s="132" t="n">
        <v>167097</v>
      </c>
      <c r="Q20" s="132" t="n">
        <v>673843572</v>
      </c>
      <c r="R20" s="132" t="n">
        <v>194392</v>
      </c>
      <c r="S20" s="132" t="n">
        <v>1031795642</v>
      </c>
      <c r="T20" s="132" t="n">
        <v>152544</v>
      </c>
      <c r="U20" s="132" t="n">
        <v>684506716</v>
      </c>
      <c r="V20" s="132" t="n">
        <v>0</v>
      </c>
      <c r="W20" s="132" t="n">
        <v>0</v>
      </c>
      <c r="X20" s="132" t="n">
        <v>0</v>
      </c>
      <c r="Y20" s="132" t="n">
        <v>0</v>
      </c>
      <c r="Z20" s="135"/>
      <c r="AA20" s="132" t="n">
        <f aca="false">X20+V20+T20+R20+P20+N20+L20+J20+H20+F20+D20+B20</f>
        <v>1403060</v>
      </c>
      <c r="AB20" s="132" t="n">
        <f aca="false">Y20+W20+U20+S20+Q20+O20+M20+K20+I20+G20+E20+C20</f>
        <v>5795161578</v>
      </c>
      <c r="AD20" s="137" t="n">
        <v>0</v>
      </c>
      <c r="AE20" s="135" t="n">
        <v>0</v>
      </c>
      <c r="AF20" s="135" t="n">
        <f aca="false">-AG20</f>
        <v>-0</v>
      </c>
      <c r="AG20" s="135" t="n">
        <f aca="false">-AH20--AG23</f>
        <v>0</v>
      </c>
      <c r="AH20" s="135" t="n">
        <f aca="false">-AI30</f>
        <v>-0</v>
      </c>
      <c r="AI20" s="135"/>
      <c r="AJ20" s="135" t="n">
        <f aca="false">-AK20</f>
        <v>-0</v>
      </c>
      <c r="AK20" s="135" t="n">
        <f aca="false">-AM22</f>
        <v>0</v>
      </c>
      <c r="AL20" s="135" t="n">
        <f aca="false">-AH6179</f>
        <v>-0</v>
      </c>
      <c r="AM20" s="135" t="n">
        <f aca="false">-AO20</f>
        <v>-0</v>
      </c>
      <c r="AN20" s="135" t="n">
        <f aca="false">-AL25</f>
        <v>0</v>
      </c>
      <c r="AO20" s="135" t="n">
        <f aca="false">-AL23</f>
        <v>0</v>
      </c>
    </row>
    <row r="21" customFormat="false" ht="16.5" hidden="false" customHeight="true" outlineLevel="0" collapsed="false">
      <c r="A21" s="131" t="s">
        <v>149</v>
      </c>
      <c r="B21" s="132" t="n">
        <v>0</v>
      </c>
      <c r="C21" s="132" t="n">
        <v>0</v>
      </c>
      <c r="D21" s="132" t="n">
        <v>0</v>
      </c>
      <c r="E21" s="132" t="n">
        <v>0</v>
      </c>
      <c r="F21" s="132" t="n">
        <v>0</v>
      </c>
      <c r="G21" s="132" t="n">
        <v>0</v>
      </c>
      <c r="H21" s="132" t="n">
        <v>0</v>
      </c>
      <c r="I21" s="132" t="n">
        <v>0</v>
      </c>
      <c r="J21" s="132" t="n">
        <v>0</v>
      </c>
      <c r="K21" s="132" t="n">
        <v>0</v>
      </c>
      <c r="L21" s="132" t="n">
        <v>0</v>
      </c>
      <c r="M21" s="132" t="n">
        <v>0</v>
      </c>
      <c r="N21" s="132" t="n">
        <v>0</v>
      </c>
      <c r="O21" s="132" t="n">
        <v>0</v>
      </c>
      <c r="P21" s="132" t="n">
        <v>0</v>
      </c>
      <c r="Q21" s="132" t="n">
        <v>0</v>
      </c>
      <c r="R21" s="132" t="n">
        <v>0</v>
      </c>
      <c r="S21" s="132" t="n">
        <v>0</v>
      </c>
      <c r="T21" s="132" t="n">
        <v>0</v>
      </c>
      <c r="U21" s="132" t="n">
        <v>0</v>
      </c>
      <c r="V21" s="132" t="n">
        <v>0</v>
      </c>
      <c r="W21" s="132" t="n">
        <v>0</v>
      </c>
      <c r="X21" s="132" t="n">
        <v>0</v>
      </c>
      <c r="Y21" s="132" t="n">
        <v>0</v>
      </c>
      <c r="Z21" s="135"/>
      <c r="AA21" s="132" t="n">
        <f aca="false">X21+V21+T21+R21+P21+N21+L21+J21+H21+F21+D21+B21</f>
        <v>0</v>
      </c>
      <c r="AB21" s="132" t="n">
        <f aca="false">Y21+W21+U21+S21+Q21+O21+M21+K21+I21+G21+E21+C21</f>
        <v>0</v>
      </c>
      <c r="AD21" s="137" t="n">
        <f aca="false">-AE21</f>
        <v>-0</v>
      </c>
      <c r="AE21" s="135" t="n">
        <f aca="false">-AE25</f>
        <v>0</v>
      </c>
      <c r="AF21" s="135" t="n">
        <v>0</v>
      </c>
      <c r="AG21" s="135" t="n">
        <v>0</v>
      </c>
      <c r="AH21" s="135" t="n">
        <f aca="false">-AI31</f>
        <v>-0</v>
      </c>
      <c r="AI21" s="135" t="n">
        <v>0</v>
      </c>
      <c r="AJ21" s="135" t="n">
        <f aca="false">-AK21</f>
        <v>-0</v>
      </c>
      <c r="AK21" s="135" t="n">
        <f aca="false">-AM23</f>
        <v>0</v>
      </c>
      <c r="AL21" s="135" t="n">
        <f aca="false">-AH6180</f>
        <v>-0</v>
      </c>
      <c r="AM21" s="135" t="n">
        <v>0</v>
      </c>
      <c r="AN21" s="135" t="n">
        <f aca="false">-AL26</f>
        <v>0</v>
      </c>
      <c r="AO21" s="135" t="n">
        <v>0</v>
      </c>
    </row>
    <row r="22" customFormat="false" ht="16.5" hidden="false" customHeight="true" outlineLevel="0" collapsed="false">
      <c r="A22" s="131" t="s">
        <v>150</v>
      </c>
      <c r="B22" s="132" t="n">
        <v>0</v>
      </c>
      <c r="C22" s="132" t="n">
        <v>0</v>
      </c>
      <c r="D22" s="132" t="n">
        <v>0</v>
      </c>
      <c r="E22" s="132" t="n">
        <v>0</v>
      </c>
      <c r="F22" s="132" t="n">
        <v>0</v>
      </c>
      <c r="G22" s="132" t="n">
        <v>0</v>
      </c>
      <c r="H22" s="132" t="n">
        <v>0</v>
      </c>
      <c r="I22" s="132" t="n">
        <v>0</v>
      </c>
      <c r="J22" s="132" t="n">
        <v>0</v>
      </c>
      <c r="K22" s="132" t="n">
        <v>0</v>
      </c>
      <c r="L22" s="132" t="n">
        <v>0</v>
      </c>
      <c r="M22" s="132" t="n">
        <v>0</v>
      </c>
      <c r="N22" s="132" t="n">
        <v>0</v>
      </c>
      <c r="O22" s="132" t="n">
        <v>0</v>
      </c>
      <c r="P22" s="132" t="n">
        <v>0</v>
      </c>
      <c r="Q22" s="132" t="n">
        <v>0</v>
      </c>
      <c r="R22" s="132" t="n">
        <v>0</v>
      </c>
      <c r="S22" s="132" t="n">
        <v>0</v>
      </c>
      <c r="T22" s="132" t="n">
        <v>0</v>
      </c>
      <c r="U22" s="132" t="n">
        <v>0</v>
      </c>
      <c r="V22" s="132" t="n">
        <v>0</v>
      </c>
      <c r="W22" s="132" t="n">
        <v>0</v>
      </c>
      <c r="X22" s="132" t="n">
        <v>0</v>
      </c>
      <c r="Y22" s="132" t="n">
        <v>0</v>
      </c>
      <c r="Z22" s="135"/>
      <c r="AA22" s="132" t="n">
        <v>0</v>
      </c>
      <c r="AB22" s="132" t="n">
        <f aca="false">Y22+W22+U22+S22+Q22+O22+M22+K22+I22+G22+E22+C22</f>
        <v>0</v>
      </c>
      <c r="AD22" s="137" t="n">
        <f aca="false">-AE22</f>
        <v>-0</v>
      </c>
      <c r="AE22" s="135" t="n">
        <f aca="false">-AE26</f>
        <v>0</v>
      </c>
      <c r="AF22" s="135" t="n">
        <f aca="false">-AG22</f>
        <v>-0</v>
      </c>
      <c r="AG22" s="135" t="n">
        <f aca="false">-AH22--AG25</f>
        <v>0</v>
      </c>
      <c r="AH22" s="135" t="n">
        <f aca="false">-AI32</f>
        <v>-0</v>
      </c>
      <c r="AI22" s="135"/>
      <c r="AJ22" s="135" t="n">
        <v>0</v>
      </c>
      <c r="AK22" s="135" t="n">
        <v>0</v>
      </c>
      <c r="AL22" s="135" t="n">
        <f aca="false">-AH6181</f>
        <v>-0</v>
      </c>
      <c r="AM22" s="135" t="n">
        <f aca="false">-AO22</f>
        <v>-0</v>
      </c>
      <c r="AN22" s="135" t="n">
        <f aca="false">-AL27</f>
        <v>0</v>
      </c>
      <c r="AO22" s="135" t="n">
        <f aca="false">-AL25</f>
        <v>0</v>
      </c>
    </row>
    <row r="23" customFormat="false" ht="16.5" hidden="false" customHeight="true" outlineLevel="0" collapsed="false">
      <c r="A23" s="131" t="s">
        <v>151</v>
      </c>
      <c r="B23" s="132" t="n">
        <v>0</v>
      </c>
      <c r="C23" s="132" t="n">
        <v>0</v>
      </c>
      <c r="D23" s="132" t="n">
        <v>0</v>
      </c>
      <c r="E23" s="132" t="n">
        <v>0</v>
      </c>
      <c r="F23" s="132" t="n">
        <v>0</v>
      </c>
      <c r="G23" s="132" t="n">
        <v>0</v>
      </c>
      <c r="H23" s="132" t="n">
        <v>0</v>
      </c>
      <c r="I23" s="132" t="n">
        <v>0</v>
      </c>
      <c r="J23" s="132" t="n">
        <v>0</v>
      </c>
      <c r="K23" s="132" t="n">
        <v>0</v>
      </c>
      <c r="L23" s="132" t="n">
        <v>0</v>
      </c>
      <c r="M23" s="132" t="n">
        <v>0</v>
      </c>
      <c r="N23" s="132" t="n">
        <v>0</v>
      </c>
      <c r="O23" s="132" t="n">
        <v>0</v>
      </c>
      <c r="P23" s="132" t="n">
        <v>0</v>
      </c>
      <c r="Q23" s="132" t="n">
        <v>0</v>
      </c>
      <c r="R23" s="132" t="n">
        <v>0</v>
      </c>
      <c r="S23" s="132" t="n">
        <v>0</v>
      </c>
      <c r="T23" s="132" t="n">
        <v>0</v>
      </c>
      <c r="U23" s="132" t="n">
        <v>0</v>
      </c>
      <c r="V23" s="132" t="n">
        <v>0</v>
      </c>
      <c r="W23" s="132" t="n">
        <v>0</v>
      </c>
      <c r="X23" s="132" t="n">
        <v>0</v>
      </c>
      <c r="Y23" s="132" t="n">
        <v>0</v>
      </c>
      <c r="Z23" s="135"/>
      <c r="AA23" s="132" t="n">
        <f aca="false">X23+V23+T23+R23+P23+N23+L23+J23+H23+F23+D23+B23</f>
        <v>0</v>
      </c>
      <c r="AB23" s="132" t="n">
        <f aca="false">Y23+W23+U23+S23+Q23+O23+M23+K23+I23+G23+E23+C23</f>
        <v>0</v>
      </c>
      <c r="AD23" s="137"/>
      <c r="AE23" s="135" t="n">
        <f aca="false">-AE27</f>
        <v>0</v>
      </c>
      <c r="AF23" s="135" t="n">
        <f aca="false">-AG23</f>
        <v>-0</v>
      </c>
      <c r="AG23" s="135" t="n">
        <f aca="false">-AH23--AG26</f>
        <v>0</v>
      </c>
      <c r="AH23" s="135" t="n">
        <f aca="false">-AI33</f>
        <v>-0</v>
      </c>
      <c r="AI23" s="135"/>
      <c r="AJ23" s="135" t="n">
        <f aca="false">-AK23</f>
        <v>-0</v>
      </c>
      <c r="AK23" s="135" t="n">
        <f aca="false">-AM25</f>
        <v>0</v>
      </c>
      <c r="AL23" s="135" t="n">
        <f aca="false">-AH6182</f>
        <v>-0</v>
      </c>
      <c r="AM23" s="135" t="n">
        <f aca="false">-AO23</f>
        <v>-0</v>
      </c>
      <c r="AN23" s="135" t="n">
        <f aca="false">-AL28</f>
        <v>0</v>
      </c>
      <c r="AO23" s="135" t="n">
        <f aca="false">-AL26</f>
        <v>0</v>
      </c>
    </row>
    <row r="24" customFormat="false" ht="16.5" hidden="false" customHeight="true" outlineLevel="0" collapsed="false">
      <c r="A24" s="131" t="s">
        <v>152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5"/>
      <c r="AA24" s="135" t="n">
        <f aca="false">X24+V24+T24+R24+P24+N24+L24+J24+H24+F24+D24+B24</f>
        <v>0</v>
      </c>
      <c r="AB24" s="135" t="n">
        <f aca="false">Y24+W24+U24+S24+Q24+O24+M24+K24+I24+G24+E24+C24</f>
        <v>0</v>
      </c>
      <c r="AD24" s="137" t="s">
        <v>153</v>
      </c>
      <c r="AE24" s="135" t="n">
        <v>1865360713</v>
      </c>
      <c r="AF24" s="135" t="s">
        <v>154</v>
      </c>
      <c r="AG24" s="135" t="n">
        <v>1221952090</v>
      </c>
      <c r="AH24" s="135" t="s">
        <v>155</v>
      </c>
      <c r="AI24" s="135" t="n">
        <v>1499115906</v>
      </c>
      <c r="AJ24" s="135" t="s">
        <v>156</v>
      </c>
      <c r="AK24" s="135" t="n">
        <v>1504689355</v>
      </c>
      <c r="AL24" s="135" t="s">
        <v>157</v>
      </c>
      <c r="AM24" s="135" t="n">
        <v>1970450257</v>
      </c>
      <c r="AN24" s="135" t="s">
        <v>158</v>
      </c>
      <c r="AO24" s="135" t="n">
        <v>936317626</v>
      </c>
    </row>
    <row r="25" customFormat="false" ht="16.5" hidden="false" customHeight="true" outlineLevel="0" collapsed="false">
      <c r="A25" s="131" t="s">
        <v>159</v>
      </c>
      <c r="B25" s="132" t="n">
        <v>0</v>
      </c>
      <c r="C25" s="132" t="n">
        <v>0</v>
      </c>
      <c r="D25" s="132" t="n">
        <v>0</v>
      </c>
      <c r="E25" s="132" t="n">
        <v>0</v>
      </c>
      <c r="F25" s="132" t="n">
        <v>0</v>
      </c>
      <c r="G25" s="132" t="n">
        <v>0</v>
      </c>
      <c r="H25" s="132" t="n">
        <v>0</v>
      </c>
      <c r="I25" s="132" t="n">
        <v>0</v>
      </c>
      <c r="J25" s="132" t="n">
        <v>0</v>
      </c>
      <c r="K25" s="132" t="n">
        <v>0</v>
      </c>
      <c r="L25" s="132" t="n">
        <v>0</v>
      </c>
      <c r="M25" s="132" t="n">
        <v>0</v>
      </c>
      <c r="N25" s="132" t="n">
        <v>0</v>
      </c>
      <c r="O25" s="132" t="n">
        <v>0</v>
      </c>
      <c r="P25" s="132" t="n">
        <v>0</v>
      </c>
      <c r="Q25" s="132" t="n">
        <v>0</v>
      </c>
      <c r="R25" s="132" t="n">
        <v>0</v>
      </c>
      <c r="S25" s="132" t="n">
        <v>0</v>
      </c>
      <c r="T25" s="132" t="n">
        <v>0</v>
      </c>
      <c r="U25" s="132" t="n">
        <v>0</v>
      </c>
      <c r="V25" s="132" t="n">
        <v>0</v>
      </c>
      <c r="W25" s="132" t="s">
        <v>116</v>
      </c>
      <c r="X25" s="132" t="n">
        <v>0</v>
      </c>
      <c r="Y25" s="132" t="n">
        <v>0</v>
      </c>
      <c r="Z25" s="135"/>
      <c r="AA25" s="135" t="n">
        <f aca="false">X25+V25+T25+R25+P25+N25+L25+J25+H25+F25+D25+B25</f>
        <v>0</v>
      </c>
      <c r="AB25" s="135" t="e">
        <f aca="false">Y25+W25+U25+S25+Q25+O25+M25+K25+I25+G25+E25+C25</f>
        <v>#VALUE!</v>
      </c>
      <c r="AD25" s="149" t="n">
        <f aca="false">-AE25</f>
        <v>0</v>
      </c>
      <c r="AE25" s="135" t="n">
        <f aca="false">-AE29</f>
        <v>-0</v>
      </c>
      <c r="AF25" s="135" t="n">
        <f aca="false">-AG25</f>
        <v>-0</v>
      </c>
      <c r="AG25" s="135" t="n">
        <f aca="false">-AH25--AG28</f>
        <v>0</v>
      </c>
      <c r="AH25" s="135" t="n">
        <f aca="false">-AI35</f>
        <v>-0</v>
      </c>
      <c r="AI25" s="135"/>
      <c r="AJ25" s="135" t="n">
        <f aca="false">-AK25</f>
        <v>0</v>
      </c>
      <c r="AK25" s="135" t="n">
        <f aca="false">-AM27</f>
        <v>-0</v>
      </c>
      <c r="AL25" s="135" t="n">
        <f aca="false">-AH6184</f>
        <v>-0</v>
      </c>
      <c r="AM25" s="135" t="n">
        <f aca="false">-AO25</f>
        <v>-0</v>
      </c>
      <c r="AN25" s="135" t="n">
        <f aca="false">-AL30</f>
        <v>-0</v>
      </c>
      <c r="AO25" s="135" t="n">
        <f aca="false">-AL28</f>
        <v>0</v>
      </c>
    </row>
    <row r="26" customFormat="false" ht="16.5" hidden="false" customHeight="true" outlineLevel="0" collapsed="false">
      <c r="A26" s="131" t="s">
        <v>160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 t="n">
        <v>0</v>
      </c>
      <c r="R26" s="132" t="n">
        <v>0</v>
      </c>
      <c r="S26" s="132" t="n">
        <v>0</v>
      </c>
      <c r="T26" s="132" t="n">
        <v>0</v>
      </c>
      <c r="U26" s="132" t="n">
        <v>0</v>
      </c>
      <c r="V26" s="132" t="n">
        <v>0</v>
      </c>
      <c r="W26" s="132" t="n">
        <v>0</v>
      </c>
      <c r="X26" s="132" t="n">
        <v>0</v>
      </c>
      <c r="Y26" s="132" t="n">
        <v>0</v>
      </c>
      <c r="Z26" s="135"/>
      <c r="AA26" s="135" t="n">
        <f aca="false">X26+V26+T26+R26+P26+N26+L26+J26+H26+F26+D26+B26</f>
        <v>0</v>
      </c>
      <c r="AB26" s="135" t="n">
        <f aca="false">Y26+W26+U26+S26+Q26+O26+M26+K26+I26+G26+E26+C26</f>
        <v>0</v>
      </c>
      <c r="AD26" s="150"/>
      <c r="AE26" s="151" t="n">
        <f aca="false">-AE30</f>
        <v>-0</v>
      </c>
      <c r="AF26" s="135" t="n">
        <f aca="false">-AG26</f>
        <v>-0</v>
      </c>
      <c r="AG26" s="135" t="n">
        <f aca="false">-AH26--AG29</f>
        <v>0</v>
      </c>
      <c r="AH26" s="135" t="n">
        <f aca="false">-AI36</f>
        <v>-0</v>
      </c>
      <c r="AI26" s="135"/>
      <c r="AJ26" s="135" t="n">
        <f aca="false">-AK26</f>
        <v>0</v>
      </c>
      <c r="AK26" s="135" t="n">
        <f aca="false">-AM28</f>
        <v>-0</v>
      </c>
      <c r="AL26" s="135" t="n">
        <f aca="false">-AH6185</f>
        <v>-0</v>
      </c>
      <c r="AM26" s="135" t="n">
        <f aca="false">-AO26</f>
        <v>0</v>
      </c>
      <c r="AN26" s="135" t="n">
        <f aca="false">-AL31</f>
        <v>-0</v>
      </c>
      <c r="AO26" s="135" t="n">
        <f aca="false">-AL29</f>
        <v>-0</v>
      </c>
    </row>
    <row r="27" customFormat="false" ht="16.5" hidden="false" customHeight="true" outlineLevel="0" collapsed="false">
      <c r="A27" s="131" t="s">
        <v>161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5"/>
      <c r="AA27" s="135" t="n">
        <f aca="false">X27+V27+T27+R27+P27+N27+L27+J27+H27+F27+D27+B27</f>
        <v>0</v>
      </c>
      <c r="AB27" s="135" t="n">
        <f aca="false">Y27+W27+U27+S27+Q27+O27+M27+K27+I27+G27+E27+C27</f>
        <v>0</v>
      </c>
      <c r="AD27" s="137" t="n">
        <f aca="false">-AE27</f>
        <v>0</v>
      </c>
      <c r="AE27" s="135" t="n">
        <f aca="false">-AE31</f>
        <v>-0</v>
      </c>
      <c r="AF27" s="135" t="n">
        <f aca="false">-AG27</f>
        <v>-0</v>
      </c>
      <c r="AG27" s="135" t="n">
        <f aca="false">-AH27--AG30</f>
        <v>0</v>
      </c>
      <c r="AH27" s="135" t="n">
        <f aca="false">-AI37</f>
        <v>-0</v>
      </c>
      <c r="AI27" s="135"/>
      <c r="AJ27" s="135" t="n">
        <f aca="false">-AK27</f>
        <v>0</v>
      </c>
      <c r="AK27" s="135" t="n">
        <f aca="false">-AM29</f>
        <v>-0</v>
      </c>
      <c r="AL27" s="135" t="n">
        <f aca="false">-AH6186</f>
        <v>-0</v>
      </c>
      <c r="AM27" s="135" t="n">
        <f aca="false">-AO27</f>
        <v>0</v>
      </c>
      <c r="AN27" s="135" t="n">
        <f aca="false">-AL32</f>
        <v>-0</v>
      </c>
      <c r="AO27" s="135" t="n">
        <f aca="false">-AL30</f>
        <v>-0</v>
      </c>
    </row>
    <row r="28" customFormat="false" ht="15.75" hidden="false" customHeight="true" outlineLevel="0" collapsed="false">
      <c r="A28" s="152" t="s">
        <v>162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AD28" s="137" t="n">
        <f aca="false">-AE28</f>
        <v>0</v>
      </c>
      <c r="AE28" s="135" t="n">
        <f aca="false">-AE32</f>
        <v>-0</v>
      </c>
      <c r="AF28" s="135" t="n">
        <f aca="false">-AG28</f>
        <v>-0</v>
      </c>
      <c r="AG28" s="135" t="n">
        <f aca="false">-AH28--AG31</f>
        <v>0</v>
      </c>
      <c r="AH28" s="135" t="n">
        <f aca="false">-AI38</f>
        <v>-0</v>
      </c>
      <c r="AI28" s="135"/>
      <c r="AJ28" s="135" t="n">
        <f aca="false">-AK28</f>
        <v>0</v>
      </c>
      <c r="AK28" s="135" t="n">
        <f aca="false">-AM30</f>
        <v>-0</v>
      </c>
      <c r="AL28" s="135" t="n">
        <f aca="false">-AH6187</f>
        <v>-0</v>
      </c>
      <c r="AM28" s="135" t="n">
        <f aca="false">-AO28</f>
        <v>0</v>
      </c>
      <c r="AN28" s="135" t="n">
        <f aca="false">-AL33</f>
        <v>-0</v>
      </c>
      <c r="AO28" s="135" t="n">
        <f aca="false">-AL31</f>
        <v>-0</v>
      </c>
    </row>
    <row r="29" customFormat="false" ht="15.75" hidden="false" customHeight="true" outlineLevel="0" collapsed="false">
      <c r="A29" s="152" t="s">
        <v>163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</row>
    <row r="30" customFormat="false" ht="15.75" hidden="false" customHeight="true" outlineLevel="0" collapsed="false">
      <c r="A30" s="152" t="s">
        <v>164</v>
      </c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</row>
    <row r="31" customFormat="false" ht="15.75" hidden="false" customHeight="true" outlineLevel="0" collapsed="false">
      <c r="A31" s="152" t="s">
        <v>165</v>
      </c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</row>
    <row r="32" customFormat="false" ht="15.75" hidden="false" customHeight="true" outlineLevel="0" collapsed="false">
      <c r="A32" s="152" t="s">
        <v>166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</row>
  </sheetData>
  <mergeCells count="25">
    <mergeCell ref="A1:E1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A4:AB4"/>
    <mergeCell ref="AD4:AE4"/>
    <mergeCell ref="AF4:AG4"/>
    <mergeCell ref="AH4:AI4"/>
    <mergeCell ref="AJ4:AK4"/>
    <mergeCell ref="AL4:AM4"/>
    <mergeCell ref="AN4:AO4"/>
    <mergeCell ref="A28:M28"/>
    <mergeCell ref="A29:M29"/>
    <mergeCell ref="A30:M30"/>
    <mergeCell ref="A31:M31"/>
    <mergeCell ref="A32:M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38" colorId="64" zoomScale="100" zoomScaleNormal="100" zoomScalePageLayoutView="100" workbookViewId="0">
      <selection pane="topLeft" activeCell="H51" activeCellId="0" sqref="H5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46.29"/>
    <col collapsed="false" customWidth="true" hidden="false" outlineLevel="0" max="2" min="2" style="1" width="16"/>
    <col collapsed="false" customWidth="true" hidden="false" outlineLevel="0" max="3" min="3" style="1" width="15.14"/>
  </cols>
  <sheetData>
    <row r="1" customFormat="false" ht="18.75" hidden="false" customHeight="true" outlineLevel="0" collapsed="false">
      <c r="A1" s="153" t="s">
        <v>167</v>
      </c>
      <c r="B1" s="153"/>
      <c r="C1" s="153"/>
    </row>
    <row r="2" customFormat="false" ht="15.75" hidden="false" customHeight="true" outlineLevel="0" collapsed="false">
      <c r="A2" s="29" t="s">
        <v>1</v>
      </c>
    </row>
    <row r="3" customFormat="false" ht="15.75" hidden="false" customHeight="true" outlineLevel="0" collapsed="false">
      <c r="A3" s="29" t="s">
        <v>55</v>
      </c>
    </row>
    <row r="4" customFormat="false" ht="15.75" hidden="false" customHeight="true" outlineLevel="0" collapsed="false">
      <c r="A4" s="50" t="s">
        <v>31</v>
      </c>
      <c r="B4" s="51" t="s">
        <v>32</v>
      </c>
      <c r="C4" s="51"/>
    </row>
    <row r="5" customFormat="false" ht="15.75" hidden="false" customHeight="true" outlineLevel="0" collapsed="false">
      <c r="A5" s="34"/>
      <c r="B5" s="35" t="s">
        <v>6</v>
      </c>
      <c r="C5" s="36" t="s">
        <v>33</v>
      </c>
    </row>
    <row r="6" customFormat="false" ht="15" hidden="false" customHeight="false" outlineLevel="0" collapsed="false">
      <c r="A6" s="37" t="s">
        <v>34</v>
      </c>
      <c r="B6" s="38" t="n">
        <v>200030</v>
      </c>
      <c r="C6" s="39" t="n">
        <v>12268419956</v>
      </c>
    </row>
    <row r="7" customFormat="false" ht="15" hidden="false" customHeight="false" outlineLevel="0" collapsed="false">
      <c r="A7" s="40" t="s">
        <v>35</v>
      </c>
      <c r="B7" s="41" t="n">
        <f aca="false">B21+B42</f>
        <v>0</v>
      </c>
      <c r="C7" s="42" t="n">
        <f aca="false">C21+C42</f>
        <v>0</v>
      </c>
    </row>
    <row r="8" customFormat="false" ht="15.75" hidden="false" customHeight="true" outlineLevel="0" collapsed="false">
      <c r="A8" s="43"/>
      <c r="B8" s="44"/>
      <c r="C8" s="45"/>
    </row>
    <row r="9" customFormat="false" ht="15.75" hidden="false" customHeight="true" outlineLevel="0" collapsed="false">
      <c r="A9" s="46" t="s">
        <v>36</v>
      </c>
      <c r="B9" s="38" t="n">
        <v>200030</v>
      </c>
      <c r="C9" s="39" t="n">
        <v>12268419956</v>
      </c>
    </row>
    <row r="10" customFormat="false" ht="15.75" hidden="false" customHeight="true" outlineLevel="0" collapsed="false">
      <c r="A10" s="43"/>
      <c r="C10" s="49"/>
    </row>
    <row r="11" customFormat="false" ht="15.75" hidden="false" customHeight="true" outlineLevel="0" collapsed="false">
      <c r="A11" s="50" t="s">
        <v>37</v>
      </c>
      <c r="B11" s="51"/>
      <c r="C11" s="51"/>
    </row>
    <row r="12" customFormat="false" ht="15" hidden="false" customHeight="false" outlineLevel="0" collapsed="false">
      <c r="A12" s="8"/>
      <c r="B12" s="154"/>
      <c r="C12" s="154"/>
    </row>
    <row r="13" customFormat="false" ht="15.75" hidden="false" customHeight="true" outlineLevel="0" collapsed="false">
      <c r="A13" s="34"/>
      <c r="B13" s="52" t="s">
        <v>6</v>
      </c>
      <c r="C13" s="53" t="s">
        <v>33</v>
      </c>
    </row>
    <row r="14" customFormat="false" ht="15" hidden="false" customHeight="false" outlineLevel="0" collapsed="false">
      <c r="A14" s="37" t="s">
        <v>34</v>
      </c>
      <c r="B14" s="38" t="n">
        <v>0</v>
      </c>
      <c r="C14" s="38" t="n">
        <v>0</v>
      </c>
    </row>
    <row r="15" customFormat="false" ht="15" hidden="false" customHeight="false" outlineLevel="0" collapsed="false">
      <c r="A15" s="54" t="s">
        <v>38</v>
      </c>
      <c r="B15" s="55"/>
      <c r="C15" s="56"/>
    </row>
    <row r="16" customFormat="false" ht="15" hidden="false" customHeight="false" outlineLevel="0" collapsed="false">
      <c r="A16" s="54" t="s">
        <v>39</v>
      </c>
      <c r="B16" s="55"/>
      <c r="C16" s="56"/>
    </row>
    <row r="17" customFormat="false" ht="15" hidden="false" customHeight="false" outlineLevel="0" collapsed="false">
      <c r="A17" s="54" t="s">
        <v>40</v>
      </c>
      <c r="B17" s="55"/>
      <c r="C17" s="56"/>
    </row>
    <row r="18" customFormat="false" ht="15" hidden="false" customHeight="false" outlineLevel="0" collapsed="false">
      <c r="A18" s="54" t="s">
        <v>41</v>
      </c>
      <c r="B18" s="55" t="n">
        <v>0</v>
      </c>
      <c r="C18" s="56"/>
    </row>
    <row r="19" customFormat="false" ht="15" hidden="false" customHeight="false" outlineLevel="0" collapsed="false">
      <c r="A19" s="54" t="s">
        <v>42</v>
      </c>
      <c r="B19" s="55"/>
      <c r="C19" s="56"/>
    </row>
    <row r="20" customFormat="false" ht="15.75" hidden="false" customHeight="true" outlineLevel="0" collapsed="false">
      <c r="A20" s="57" t="s">
        <v>43</v>
      </c>
      <c r="B20" s="58"/>
      <c r="C20" s="59"/>
    </row>
    <row r="21" customFormat="false" ht="15.75" hidden="false" customHeight="true" outlineLevel="0" collapsed="false">
      <c r="A21" s="60" t="s">
        <v>35</v>
      </c>
      <c r="B21" s="61" t="n">
        <f aca="false">SUM(B22:B27)</f>
        <v>0</v>
      </c>
      <c r="C21" s="61" t="n">
        <f aca="false">SUM(C22:C27)</f>
        <v>0</v>
      </c>
    </row>
    <row r="22" customFormat="false" ht="15" hidden="false" customHeight="false" outlineLevel="0" collapsed="false">
      <c r="A22" s="62" t="s">
        <v>38</v>
      </c>
      <c r="B22" s="41"/>
      <c r="C22" s="63"/>
    </row>
    <row r="23" customFormat="false" ht="15" hidden="false" customHeight="false" outlineLevel="0" collapsed="false">
      <c r="A23" s="62" t="s">
        <v>39</v>
      </c>
      <c r="B23" s="41"/>
      <c r="C23" s="63"/>
    </row>
    <row r="24" customFormat="false" ht="15" hidden="false" customHeight="false" outlineLevel="0" collapsed="false">
      <c r="A24" s="62" t="s">
        <v>40</v>
      </c>
      <c r="B24" s="41"/>
      <c r="C24" s="63"/>
    </row>
    <row r="25" customFormat="false" ht="15" hidden="false" customHeight="false" outlineLevel="0" collapsed="false">
      <c r="A25" s="62" t="s">
        <v>41</v>
      </c>
      <c r="B25" s="41"/>
      <c r="C25" s="63"/>
    </row>
    <row r="26" customFormat="false" ht="15" hidden="false" customHeight="false" outlineLevel="0" collapsed="false">
      <c r="A26" s="62" t="s">
        <v>42</v>
      </c>
      <c r="B26" s="41"/>
      <c r="C26" s="63"/>
    </row>
    <row r="27" customFormat="false" ht="15.75" hidden="false" customHeight="true" outlineLevel="0" collapsed="false">
      <c r="A27" s="64" t="s">
        <v>43</v>
      </c>
      <c r="B27" s="65"/>
      <c r="C27" s="66"/>
    </row>
    <row r="28" customFormat="false" ht="16.5" hidden="false" customHeight="true" outlineLevel="0" collapsed="false">
      <c r="A28" s="67" t="s">
        <v>36</v>
      </c>
      <c r="B28" s="68" t="n">
        <v>0</v>
      </c>
      <c r="C28" s="69" t="n">
        <v>0</v>
      </c>
    </row>
    <row r="29" customFormat="false" ht="15.75" hidden="false" customHeight="true" outlineLevel="0" collapsed="false">
      <c r="A29" s="43"/>
      <c r="C29" s="49"/>
    </row>
    <row r="30" customFormat="false" ht="15.75" hidden="false" customHeight="true" outlineLevel="0" collapsed="false">
      <c r="A30" s="70" t="s">
        <v>44</v>
      </c>
      <c r="B30" s="71"/>
      <c r="C30" s="71"/>
    </row>
    <row r="31" customFormat="false" ht="15" hidden="false" customHeight="false" outlineLevel="0" collapsed="false">
      <c r="A31" s="155"/>
      <c r="B31" s="156"/>
      <c r="C31" s="156"/>
    </row>
    <row r="32" customFormat="false" ht="15.75" hidden="false" customHeight="true" outlineLevel="0" collapsed="false">
      <c r="A32" s="72"/>
      <c r="B32" s="52" t="s">
        <v>6</v>
      </c>
      <c r="C32" s="53" t="s">
        <v>33</v>
      </c>
    </row>
    <row r="33" customFormat="false" ht="15.75" hidden="false" customHeight="true" outlineLevel="0" collapsed="false">
      <c r="A33" s="73" t="s">
        <v>34</v>
      </c>
      <c r="B33" s="74"/>
      <c r="C33" s="75"/>
    </row>
    <row r="34" customFormat="false" ht="15.75" hidden="false" customHeight="true" outlineLevel="0" collapsed="false">
      <c r="A34" s="76" t="s">
        <v>45</v>
      </c>
      <c r="B34" s="77"/>
      <c r="C34" s="56"/>
    </row>
    <row r="35" customFormat="false" ht="15" hidden="false" customHeight="false" outlineLevel="0" collapsed="false">
      <c r="A35" s="78" t="s">
        <v>46</v>
      </c>
      <c r="B35" s="79"/>
      <c r="C35" s="80"/>
    </row>
    <row r="36" customFormat="false" ht="15" hidden="false" customHeight="false" outlineLevel="0" collapsed="false">
      <c r="A36" s="78" t="s">
        <v>47</v>
      </c>
      <c r="B36" s="79"/>
      <c r="C36" s="80"/>
    </row>
    <row r="37" customFormat="false" ht="15" hidden="false" customHeight="false" outlineLevel="0" collapsed="false">
      <c r="A37" s="78" t="s">
        <v>48</v>
      </c>
      <c r="B37" s="79"/>
      <c r="C37" s="80"/>
    </row>
    <row r="38" customFormat="false" ht="15" hidden="false" customHeight="false" outlineLevel="0" collapsed="false">
      <c r="A38" s="78" t="s">
        <v>49</v>
      </c>
      <c r="B38" s="79"/>
      <c r="C38" s="80"/>
    </row>
    <row r="39" customFormat="false" ht="15" hidden="false" customHeight="false" outlineLevel="0" collapsed="false">
      <c r="A39" s="78" t="s">
        <v>50</v>
      </c>
      <c r="B39" s="79"/>
      <c r="C39" s="80"/>
    </row>
    <row r="40" customFormat="false" ht="15" hidden="false" customHeight="false" outlineLevel="0" collapsed="false">
      <c r="A40" s="78" t="s">
        <v>51</v>
      </c>
      <c r="B40" s="79"/>
      <c r="C40" s="80"/>
    </row>
    <row r="41" customFormat="false" ht="15" hidden="false" customHeight="false" outlineLevel="0" collapsed="false">
      <c r="A41" s="78" t="s">
        <v>52</v>
      </c>
      <c r="B41" s="79"/>
      <c r="C41" s="80"/>
    </row>
    <row r="42" customFormat="false" ht="15.75" hidden="false" customHeight="true" outlineLevel="0" collapsed="false">
      <c r="A42" s="81" t="s">
        <v>35</v>
      </c>
      <c r="B42" s="82"/>
      <c r="C42" s="66"/>
    </row>
    <row r="43" customFormat="false" ht="15.75" hidden="false" customHeight="true" outlineLevel="0" collapsed="false">
      <c r="A43" s="83" t="s">
        <v>45</v>
      </c>
      <c r="B43" s="84"/>
      <c r="C43" s="85"/>
    </row>
    <row r="44" customFormat="false" ht="15" hidden="false" customHeight="false" outlineLevel="0" collapsed="false">
      <c r="A44" s="86" t="s">
        <v>46</v>
      </c>
      <c r="B44" s="87"/>
      <c r="C44" s="63"/>
    </row>
    <row r="45" customFormat="false" ht="15" hidden="false" customHeight="false" outlineLevel="0" collapsed="false">
      <c r="A45" s="86" t="s">
        <v>47</v>
      </c>
      <c r="B45" s="87"/>
      <c r="C45" s="63"/>
    </row>
    <row r="46" customFormat="false" ht="15" hidden="false" customHeight="false" outlineLevel="0" collapsed="false">
      <c r="A46" s="86" t="s">
        <v>53</v>
      </c>
      <c r="B46" s="87"/>
      <c r="C46" s="63"/>
    </row>
    <row r="47" customFormat="false" ht="15" hidden="false" customHeight="false" outlineLevel="0" collapsed="false">
      <c r="A47" s="86" t="s">
        <v>49</v>
      </c>
      <c r="B47" s="87"/>
      <c r="C47" s="63"/>
    </row>
    <row r="48" customFormat="false" ht="15" hidden="false" customHeight="false" outlineLevel="0" collapsed="false">
      <c r="A48" s="86" t="s">
        <v>50</v>
      </c>
      <c r="B48" s="87"/>
      <c r="C48" s="63"/>
    </row>
    <row r="49" customFormat="false" ht="15" hidden="false" customHeight="false" outlineLevel="0" collapsed="false">
      <c r="A49" s="86" t="s">
        <v>51</v>
      </c>
      <c r="B49" s="87"/>
      <c r="C49" s="63"/>
    </row>
    <row r="50" customFormat="false" ht="15.75" hidden="false" customHeight="true" outlineLevel="0" collapsed="false">
      <c r="A50" s="88" t="s">
        <v>52</v>
      </c>
      <c r="B50" s="82"/>
      <c r="C50" s="66"/>
    </row>
    <row r="51" customFormat="false" ht="16.5" hidden="false" customHeight="true" outlineLevel="0" collapsed="false">
      <c r="A51" s="89" t="s">
        <v>36</v>
      </c>
      <c r="B51" s="38" t="n">
        <v>200030</v>
      </c>
      <c r="C51" s="39" t="n">
        <v>12268419956</v>
      </c>
    </row>
  </sheetData>
  <mergeCells count="6">
    <mergeCell ref="A1:C1"/>
    <mergeCell ref="B4:C4"/>
    <mergeCell ref="B11:C11"/>
    <mergeCell ref="B12:C12"/>
    <mergeCell ref="B30:C30"/>
    <mergeCell ref="B31:C31"/>
  </mergeCells>
  <printOptions headings="false" gridLines="false" gridLinesSet="true" horizontalCentered="false" verticalCentered="false"/>
  <pageMargins left="0.708333333333333" right="0.708333333333333" top="0.157638888888889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I25" activeCellId="0" sqref="I25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34.57"/>
  </cols>
  <sheetData>
    <row r="1" customFormat="false" ht="1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1" t="s">
        <v>169</v>
      </c>
    </row>
    <row r="3" customFormat="false" ht="15" hidden="false" customHeight="false" outlineLevel="0" collapsed="false">
      <c r="A3" s="1" t="s">
        <v>170</v>
      </c>
    </row>
    <row r="4" customFormat="false" ht="15" hidden="false" customHeight="false" outlineLevel="0" collapsed="false">
      <c r="A4" s="1" t="s">
        <v>171</v>
      </c>
    </row>
    <row r="6" customFormat="false" ht="15.75" hidden="false" customHeight="true" outlineLevel="0" collapsed="false">
      <c r="A6" s="157" t="s">
        <v>172</v>
      </c>
      <c r="B6" s="157"/>
    </row>
    <row r="7" customFormat="false" ht="29.25" hidden="false" customHeight="true" outlineLevel="0" collapsed="false">
      <c r="A7" s="158" t="s">
        <v>173</v>
      </c>
      <c r="B7" s="159" t="s">
        <v>172</v>
      </c>
    </row>
    <row r="8" customFormat="false" ht="15.75" hidden="false" customHeight="true" outlineLevel="0" collapsed="false">
      <c r="A8" s="160" t="s">
        <v>174</v>
      </c>
      <c r="B8" s="161"/>
    </row>
    <row r="9" customFormat="false" ht="15.75" hidden="false" customHeight="true" outlineLevel="0" collapsed="false">
      <c r="A9" s="160" t="s">
        <v>175</v>
      </c>
      <c r="B9" s="161"/>
    </row>
    <row r="10" customFormat="false" ht="15.75" hidden="false" customHeight="true" outlineLevel="0" collapsed="false">
      <c r="A10" s="160" t="s">
        <v>176</v>
      </c>
      <c r="B10" s="161"/>
    </row>
    <row r="11" customFormat="false" ht="15.75" hidden="false" customHeight="true" outlineLevel="0" collapsed="false">
      <c r="A11" s="160" t="s">
        <v>177</v>
      </c>
      <c r="B11" s="161"/>
    </row>
    <row r="12" customFormat="false" ht="15.75" hidden="false" customHeight="true" outlineLevel="0" collapsed="false">
      <c r="A12" s="162" t="s">
        <v>178</v>
      </c>
      <c r="B12" s="161"/>
    </row>
    <row r="13" customFormat="false" ht="15" hidden="false" customHeight="false" outlineLevel="0" collapsed="false">
      <c r="A13" s="163"/>
      <c r="B13" s="164"/>
    </row>
    <row r="14" customFormat="false" ht="15.75" hidden="false" customHeight="true" outlineLevel="0" collapsed="false">
      <c r="A14" s="157" t="s">
        <v>179</v>
      </c>
      <c r="B14" s="157"/>
      <c r="C14" s="157"/>
      <c r="D14" s="157"/>
      <c r="E14" s="157"/>
    </row>
    <row r="15" customFormat="false" ht="55.5" hidden="false" customHeight="true" outlineLevel="0" collapsed="false">
      <c r="A15" s="158" t="s">
        <v>180</v>
      </c>
      <c r="B15" s="158"/>
      <c r="C15" s="158" t="s">
        <v>6</v>
      </c>
      <c r="D15" s="158" t="s">
        <v>181</v>
      </c>
      <c r="E15" s="158"/>
    </row>
    <row r="16" customFormat="false" ht="15.75" hidden="false" customHeight="true" outlineLevel="0" collapsed="false">
      <c r="A16" s="158"/>
      <c r="B16" s="158"/>
      <c r="C16" s="158"/>
      <c r="D16" s="158"/>
      <c r="E16" s="158"/>
    </row>
    <row r="17" customFormat="false" ht="15.75" hidden="false" customHeight="true" outlineLevel="0" collapsed="false">
      <c r="A17" s="165" t="s">
        <v>182</v>
      </c>
      <c r="B17" s="165"/>
      <c r="C17" s="161"/>
      <c r="D17" s="165"/>
      <c r="E17" s="165"/>
    </row>
    <row r="18" customFormat="false" ht="15.75" hidden="false" customHeight="true" outlineLevel="0" collapsed="false">
      <c r="A18" s="165" t="s">
        <v>183</v>
      </c>
      <c r="B18" s="165"/>
      <c r="C18" s="161"/>
      <c r="D18" s="165"/>
      <c r="E18" s="165"/>
    </row>
    <row r="19" customFormat="false" ht="15.75" hidden="false" customHeight="true" outlineLevel="0" collapsed="false">
      <c r="A19" s="165" t="s">
        <v>184</v>
      </c>
      <c r="B19" s="165"/>
      <c r="C19" s="161"/>
      <c r="D19" s="165"/>
      <c r="E19" s="165"/>
    </row>
    <row r="20" customFormat="false" ht="15.75" hidden="false" customHeight="true" outlineLevel="0" collapsed="false">
      <c r="A20" s="165" t="s">
        <v>185</v>
      </c>
      <c r="B20" s="165"/>
      <c r="C20" s="161"/>
      <c r="D20" s="165"/>
      <c r="E20" s="165"/>
    </row>
    <row r="21" customFormat="false" ht="15.75" hidden="false" customHeight="true" outlineLevel="0" collapsed="false">
      <c r="A21" s="165" t="s">
        <v>186</v>
      </c>
      <c r="B21" s="165"/>
      <c r="C21" s="161"/>
      <c r="D21" s="165"/>
      <c r="E21" s="165"/>
    </row>
    <row r="22" customFormat="false" ht="15.75" hidden="false" customHeight="true" outlineLevel="0" collapsed="false">
      <c r="A22" s="165" t="s">
        <v>187</v>
      </c>
      <c r="B22" s="165"/>
      <c r="C22" s="161"/>
      <c r="D22" s="165"/>
      <c r="E22" s="165"/>
    </row>
    <row r="23" customFormat="false" ht="15.75" hidden="false" customHeight="true" outlineLevel="0" collapsed="false">
      <c r="A23" s="165" t="s">
        <v>188</v>
      </c>
      <c r="B23" s="165"/>
      <c r="C23" s="161"/>
      <c r="D23" s="165"/>
      <c r="E23" s="165"/>
    </row>
    <row r="24" customFormat="false" ht="15" hidden="false" customHeight="false" outlineLevel="0" collapsed="false">
      <c r="A24" s="164"/>
      <c r="B24" s="164"/>
      <c r="C24" s="164"/>
      <c r="D24" s="164"/>
      <c r="E24" s="164"/>
    </row>
    <row r="25" customFormat="false" ht="15" hidden="false" customHeight="false" outlineLevel="0" collapsed="false">
      <c r="A25" s="164"/>
      <c r="B25" s="164"/>
      <c r="C25" s="164"/>
      <c r="D25" s="164"/>
      <c r="E25" s="164"/>
    </row>
    <row r="26" customFormat="false" ht="15.75" hidden="false" customHeight="true" outlineLevel="0" collapsed="false">
      <c r="A26" s="157" t="s">
        <v>189</v>
      </c>
      <c r="B26" s="157"/>
      <c r="C26" s="157"/>
      <c r="D26" s="157"/>
      <c r="E26" s="157"/>
    </row>
    <row r="27" customFormat="false" ht="15" hidden="false" customHeight="true" outlineLevel="0" collapsed="false">
      <c r="A27" s="158" t="s">
        <v>180</v>
      </c>
      <c r="B27" s="158"/>
      <c r="C27" s="158" t="s">
        <v>190</v>
      </c>
      <c r="D27" s="158" t="s">
        <v>191</v>
      </c>
      <c r="E27" s="158"/>
    </row>
    <row r="28" customFormat="false" ht="15.75" hidden="false" customHeight="true" outlineLevel="0" collapsed="false">
      <c r="A28" s="158"/>
      <c r="B28" s="158"/>
      <c r="C28" s="158"/>
      <c r="D28" s="158"/>
      <c r="E28" s="158"/>
    </row>
    <row r="29" customFormat="false" ht="15.75" hidden="false" customHeight="true" outlineLevel="0" collapsed="false">
      <c r="A29" s="165" t="s">
        <v>182</v>
      </c>
      <c r="B29" s="165"/>
      <c r="C29" s="161"/>
      <c r="D29" s="165"/>
      <c r="E29" s="165"/>
    </row>
    <row r="30" customFormat="false" ht="15.75" hidden="false" customHeight="true" outlineLevel="0" collapsed="false">
      <c r="A30" s="165" t="s">
        <v>183</v>
      </c>
      <c r="B30" s="165"/>
      <c r="C30" s="161"/>
      <c r="D30" s="165"/>
      <c r="E30" s="165"/>
    </row>
    <row r="31" customFormat="false" ht="15.75" hidden="false" customHeight="true" outlineLevel="0" collapsed="false">
      <c r="A31" s="165" t="s">
        <v>184</v>
      </c>
      <c r="B31" s="165"/>
      <c r="C31" s="161"/>
      <c r="D31" s="165"/>
      <c r="E31" s="165"/>
    </row>
    <row r="32" customFormat="false" ht="15.75" hidden="false" customHeight="true" outlineLevel="0" collapsed="false">
      <c r="A32" s="165" t="s">
        <v>185</v>
      </c>
      <c r="B32" s="165"/>
      <c r="C32" s="161"/>
      <c r="D32" s="165"/>
      <c r="E32" s="165"/>
    </row>
    <row r="33" customFormat="false" ht="15.75" hidden="false" customHeight="true" outlineLevel="0" collapsed="false">
      <c r="A33" s="165" t="s">
        <v>186</v>
      </c>
      <c r="B33" s="165"/>
      <c r="C33" s="161"/>
      <c r="D33" s="165"/>
      <c r="E33" s="165"/>
    </row>
    <row r="34" customFormat="false" ht="15.75" hidden="false" customHeight="true" outlineLevel="0" collapsed="false">
      <c r="A34" s="165" t="s">
        <v>187</v>
      </c>
      <c r="B34" s="165"/>
      <c r="C34" s="161"/>
      <c r="D34" s="165"/>
      <c r="E34" s="165"/>
    </row>
    <row r="35" customFormat="false" ht="15.75" hidden="false" customHeight="true" outlineLevel="0" collapsed="false">
      <c r="A35" s="165" t="s">
        <v>188</v>
      </c>
      <c r="B35" s="165"/>
      <c r="C35" s="161"/>
      <c r="D35" s="165"/>
      <c r="E35" s="165"/>
    </row>
  </sheetData>
  <mergeCells count="37">
    <mergeCell ref="A6:B6"/>
    <mergeCell ref="A14:E14"/>
    <mergeCell ref="A15:B16"/>
    <mergeCell ref="C15:C16"/>
    <mergeCell ref="D15:E16"/>
    <mergeCell ref="A17:B17"/>
    <mergeCell ref="D17:E17"/>
    <mergeCell ref="A18:B18"/>
    <mergeCell ref="D18:E18"/>
    <mergeCell ref="A19:B19"/>
    <mergeCell ref="D19:E19"/>
    <mergeCell ref="A20:B20"/>
    <mergeCell ref="D20:E20"/>
    <mergeCell ref="A21:B21"/>
    <mergeCell ref="D21:E21"/>
    <mergeCell ref="A22:B22"/>
    <mergeCell ref="D22:E22"/>
    <mergeCell ref="A23:B23"/>
    <mergeCell ref="D23:E23"/>
    <mergeCell ref="A26:E26"/>
    <mergeCell ref="A27:B28"/>
    <mergeCell ref="C27:C28"/>
    <mergeCell ref="D27:E28"/>
    <mergeCell ref="A29:B29"/>
    <mergeCell ref="D29:E29"/>
    <mergeCell ref="A30:B30"/>
    <mergeCell ref="D30:E30"/>
    <mergeCell ref="A31:B31"/>
    <mergeCell ref="D31:E31"/>
    <mergeCell ref="A32:B32"/>
    <mergeCell ref="D32:E32"/>
    <mergeCell ref="A33:B33"/>
    <mergeCell ref="D33:E33"/>
    <mergeCell ref="A34:B34"/>
    <mergeCell ref="D34:E34"/>
    <mergeCell ref="A35:B35"/>
    <mergeCell ref="D35:E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1" activeCellId="0" sqref="A5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20.57"/>
    <col collapsed="false" customWidth="true" hidden="false" outlineLevel="0" max="2" min="2" style="1" width="32.42"/>
    <col collapsed="false" customWidth="true" hidden="false" outlineLevel="0" max="3" min="3" style="1" width="61.71"/>
  </cols>
  <sheetData>
    <row r="1" customFormat="false" ht="21" hidden="false" customHeight="true" outlineLevel="0" collapsed="false">
      <c r="A1" s="166" t="s">
        <v>192</v>
      </c>
      <c r="B1" s="166"/>
      <c r="C1" s="166"/>
    </row>
    <row r="2" customFormat="false" ht="19.5" hidden="false" customHeight="true" outlineLevel="0" collapsed="false">
      <c r="A2" s="167" t="s">
        <v>193</v>
      </c>
      <c r="B2" s="168" t="s">
        <v>194</v>
      </c>
      <c r="C2" s="168"/>
    </row>
    <row r="3" customFormat="false" ht="15.75" hidden="false" customHeight="true" outlineLevel="0" collapsed="false">
      <c r="A3" s="169"/>
      <c r="B3" s="170" t="s">
        <v>195</v>
      </c>
      <c r="C3" s="170"/>
    </row>
    <row r="4" customFormat="false" ht="15.75" hidden="false" customHeight="true" outlineLevel="0" collapsed="false">
      <c r="A4" s="171"/>
      <c r="B4" s="172" t="s">
        <v>6</v>
      </c>
      <c r="C4" s="173" t="s">
        <v>106</v>
      </c>
    </row>
    <row r="5" customFormat="false" ht="15.75" hidden="false" customHeight="true" outlineLevel="0" collapsed="false">
      <c r="A5" s="174" t="s">
        <v>196</v>
      </c>
      <c r="B5" s="175" t="s">
        <v>197</v>
      </c>
      <c r="C5" s="176" t="s">
        <v>198</v>
      </c>
    </row>
    <row r="6" customFormat="false" ht="15.75" hidden="false" customHeight="true" outlineLevel="0" collapsed="false">
      <c r="A6" s="174" t="s">
        <v>199</v>
      </c>
      <c r="B6" s="175" t="s">
        <v>200</v>
      </c>
      <c r="C6" s="176" t="s">
        <v>201</v>
      </c>
    </row>
    <row r="7" customFormat="false" ht="15.75" hidden="false" customHeight="true" outlineLevel="0" collapsed="false">
      <c r="A7" s="174" t="s">
        <v>202</v>
      </c>
      <c r="B7" s="175" t="s">
        <v>200</v>
      </c>
      <c r="C7" s="176" t="s">
        <v>198</v>
      </c>
    </row>
    <row r="8" customFormat="false" ht="15.75" hidden="false" customHeight="true" outlineLevel="0" collapsed="false">
      <c r="A8" s="174" t="s">
        <v>203</v>
      </c>
      <c r="B8" s="175" t="s">
        <v>204</v>
      </c>
      <c r="C8" s="176" t="s">
        <v>201</v>
      </c>
    </row>
    <row r="9" customFormat="false" ht="15.75" hidden="false" customHeight="true" outlineLevel="0" collapsed="false">
      <c r="A9" s="174" t="s">
        <v>205</v>
      </c>
      <c r="B9" s="175" t="s">
        <v>200</v>
      </c>
      <c r="C9" s="176" t="s">
        <v>201</v>
      </c>
    </row>
    <row r="10" customFormat="false" ht="15.75" hidden="false" customHeight="true" outlineLevel="0" collapsed="false">
      <c r="A10" s="174" t="s">
        <v>206</v>
      </c>
      <c r="B10" s="175" t="s">
        <v>197</v>
      </c>
      <c r="C10" s="176" t="s">
        <v>201</v>
      </c>
    </row>
    <row r="11" customFormat="false" ht="15.75" hidden="false" customHeight="true" outlineLevel="0" collapsed="false">
      <c r="A11" s="171" t="s">
        <v>207</v>
      </c>
      <c r="B11" s="175" t="s">
        <v>200</v>
      </c>
      <c r="C11" s="176" t="s">
        <v>201</v>
      </c>
    </row>
    <row r="12" customFormat="false" ht="15.75" hidden="false" customHeight="true" outlineLevel="0" collapsed="false">
      <c r="A12" s="177"/>
      <c r="B12" s="168"/>
      <c r="C12" s="168"/>
    </row>
    <row r="13" customFormat="false" ht="15.75" hidden="false" customHeight="true" outlineLevel="0" collapsed="false">
      <c r="A13" s="169"/>
      <c r="B13" s="170" t="s">
        <v>208</v>
      </c>
      <c r="C13" s="170"/>
    </row>
    <row r="14" customFormat="false" ht="15.75" hidden="false" customHeight="true" outlineLevel="0" collapsed="false">
      <c r="A14" s="171"/>
      <c r="B14" s="172" t="s">
        <v>6</v>
      </c>
      <c r="C14" s="173" t="s">
        <v>106</v>
      </c>
    </row>
    <row r="15" customFormat="false" ht="15.75" hidden="false" customHeight="true" outlineLevel="0" collapsed="false">
      <c r="A15" s="174" t="s">
        <v>196</v>
      </c>
      <c r="B15" s="175"/>
      <c r="C15" s="176"/>
    </row>
    <row r="16" customFormat="false" ht="15.75" hidden="false" customHeight="true" outlineLevel="0" collapsed="false">
      <c r="A16" s="174" t="s">
        <v>209</v>
      </c>
      <c r="B16" s="175"/>
      <c r="C16" s="176"/>
    </row>
    <row r="17" customFormat="false" ht="15.75" hidden="false" customHeight="true" outlineLevel="0" collapsed="false">
      <c r="A17" s="174" t="s">
        <v>202</v>
      </c>
      <c r="B17" s="175"/>
      <c r="C17" s="176"/>
    </row>
    <row r="18" customFormat="false" ht="15.75" hidden="false" customHeight="true" outlineLevel="0" collapsed="false">
      <c r="A18" s="174" t="s">
        <v>210</v>
      </c>
      <c r="B18" s="175"/>
      <c r="C18" s="176"/>
    </row>
    <row r="19" customFormat="false" ht="15.75" hidden="false" customHeight="true" outlineLevel="0" collapsed="false">
      <c r="A19" s="174" t="s">
        <v>211</v>
      </c>
      <c r="B19" s="175"/>
      <c r="C19" s="176"/>
    </row>
    <row r="20" customFormat="false" ht="15.75" hidden="false" customHeight="true" outlineLevel="0" collapsed="false">
      <c r="A20" s="174" t="s">
        <v>212</v>
      </c>
      <c r="B20" s="175"/>
      <c r="C20" s="176"/>
    </row>
    <row r="21" customFormat="false" ht="15.75" hidden="false" customHeight="true" outlineLevel="0" collapsed="false">
      <c r="A21" s="171" t="s">
        <v>213</v>
      </c>
      <c r="B21" s="175" t="s">
        <v>197</v>
      </c>
      <c r="C21" s="176" t="s">
        <v>201</v>
      </c>
    </row>
    <row r="22" customFormat="false" ht="15.75" hidden="false" customHeight="true" outlineLevel="0" collapsed="false">
      <c r="A22" s="177"/>
      <c r="B22" s="168"/>
      <c r="C22" s="168"/>
    </row>
    <row r="23" customFormat="false" ht="15.75" hidden="false" customHeight="true" outlineLevel="0" collapsed="false">
      <c r="A23" s="169"/>
      <c r="B23" s="170" t="s">
        <v>214</v>
      </c>
      <c r="C23" s="170"/>
    </row>
    <row r="24" customFormat="false" ht="15.75" hidden="false" customHeight="true" outlineLevel="0" collapsed="false">
      <c r="A24" s="171"/>
      <c r="B24" s="172" t="s">
        <v>6</v>
      </c>
      <c r="C24" s="173" t="s">
        <v>106</v>
      </c>
    </row>
    <row r="25" customFormat="false" ht="15.75" hidden="false" customHeight="true" outlineLevel="0" collapsed="false">
      <c r="A25" s="174" t="s">
        <v>196</v>
      </c>
      <c r="B25" s="175"/>
      <c r="C25" s="176"/>
    </row>
    <row r="26" customFormat="false" ht="16.5" hidden="false" customHeight="true" outlineLevel="0" collapsed="false">
      <c r="A26" s="174" t="s">
        <v>209</v>
      </c>
      <c r="B26" s="175"/>
      <c r="C26" s="176"/>
    </row>
    <row r="27" customFormat="false" ht="15.75" hidden="false" customHeight="true" outlineLevel="0" collapsed="false">
      <c r="A27" s="174" t="s">
        <v>202</v>
      </c>
      <c r="B27" s="175"/>
      <c r="C27" s="176"/>
    </row>
    <row r="28" customFormat="false" ht="15.75" hidden="false" customHeight="true" outlineLevel="0" collapsed="false">
      <c r="A28" s="174" t="s">
        <v>210</v>
      </c>
      <c r="B28" s="175"/>
      <c r="C28" s="176"/>
    </row>
    <row r="29" customFormat="false" ht="15.75" hidden="false" customHeight="true" outlineLevel="0" collapsed="false">
      <c r="A29" s="174" t="s">
        <v>211</v>
      </c>
      <c r="B29" s="175"/>
      <c r="C29" s="176"/>
    </row>
    <row r="30" customFormat="false" ht="15.75" hidden="false" customHeight="true" outlineLevel="0" collapsed="false">
      <c r="A30" s="174" t="s">
        <v>212</v>
      </c>
      <c r="B30" s="175"/>
      <c r="C30" s="176"/>
    </row>
    <row r="31" customFormat="false" ht="15.75" hidden="false" customHeight="true" outlineLevel="0" collapsed="false">
      <c r="A31" s="171" t="s">
        <v>215</v>
      </c>
      <c r="B31" s="175" t="s">
        <v>197</v>
      </c>
      <c r="C31" s="176" t="s">
        <v>201</v>
      </c>
    </row>
    <row r="32" customFormat="false" ht="15.75" hidden="false" customHeight="true" outlineLevel="0" collapsed="false">
      <c r="A32" s="177"/>
      <c r="B32" s="168"/>
      <c r="C32" s="168"/>
    </row>
    <row r="33" customFormat="false" ht="15.75" hidden="false" customHeight="true" outlineLevel="0" collapsed="false">
      <c r="A33" s="169"/>
      <c r="B33" s="178" t="s">
        <v>216</v>
      </c>
      <c r="C33" s="178"/>
    </row>
    <row r="34" customFormat="false" ht="15.75" hidden="false" customHeight="true" outlineLevel="0" collapsed="false">
      <c r="A34" s="171"/>
      <c r="B34" s="172" t="s">
        <v>6</v>
      </c>
      <c r="C34" s="173" t="s">
        <v>106</v>
      </c>
    </row>
    <row r="35" customFormat="false" ht="15.75" hidden="false" customHeight="true" outlineLevel="0" collapsed="false">
      <c r="A35" s="174" t="s">
        <v>196</v>
      </c>
      <c r="B35" s="175"/>
      <c r="C35" s="176"/>
    </row>
    <row r="36" customFormat="false" ht="15.75" hidden="false" customHeight="true" outlineLevel="0" collapsed="false">
      <c r="A36" s="174" t="s">
        <v>217</v>
      </c>
      <c r="B36" s="175"/>
      <c r="C36" s="176"/>
    </row>
    <row r="37" customFormat="false" ht="15.75" hidden="false" customHeight="true" outlineLevel="0" collapsed="false">
      <c r="A37" s="174" t="s">
        <v>202</v>
      </c>
      <c r="B37" s="175"/>
      <c r="C37" s="176"/>
    </row>
    <row r="38" customFormat="false" ht="15.75" hidden="false" customHeight="true" outlineLevel="0" collapsed="false">
      <c r="A38" s="174" t="s">
        <v>210</v>
      </c>
      <c r="B38" s="175"/>
      <c r="C38" s="176"/>
    </row>
    <row r="39" customFormat="false" ht="15.75" hidden="false" customHeight="true" outlineLevel="0" collapsed="false">
      <c r="A39" s="174" t="s">
        <v>211</v>
      </c>
      <c r="B39" s="175"/>
      <c r="C39" s="176"/>
    </row>
    <row r="40" customFormat="false" ht="15.75" hidden="false" customHeight="true" outlineLevel="0" collapsed="false">
      <c r="A40" s="174" t="s">
        <v>212</v>
      </c>
      <c r="B40" s="175"/>
      <c r="C40" s="176"/>
    </row>
    <row r="41" customFormat="false" ht="15.75" hidden="false" customHeight="true" outlineLevel="0" collapsed="false">
      <c r="A41" s="171" t="s">
        <v>218</v>
      </c>
      <c r="B41" s="175" t="s">
        <v>197</v>
      </c>
      <c r="C41" s="176" t="s">
        <v>201</v>
      </c>
    </row>
    <row r="42" customFormat="false" ht="15" hidden="false" customHeight="false" outlineLevel="0" collapsed="false">
      <c r="A42" s="179" t="s">
        <v>219</v>
      </c>
      <c r="B42" s="179"/>
      <c r="C42" s="179"/>
    </row>
    <row r="43" customFormat="false" ht="15" hidden="false" customHeight="false" outlineLevel="0" collapsed="false">
      <c r="A43" s="180" t="s">
        <v>220</v>
      </c>
      <c r="B43" s="180"/>
      <c r="C43" s="180"/>
    </row>
    <row r="44" customFormat="false" ht="15" hidden="false" customHeight="false" outlineLevel="0" collapsed="false">
      <c r="A44" s="180" t="s">
        <v>221</v>
      </c>
      <c r="B44" s="180"/>
      <c r="C44" s="180"/>
    </row>
    <row r="45" customFormat="false" ht="15" hidden="false" customHeight="false" outlineLevel="0" collapsed="false">
      <c r="A45" s="180" t="s">
        <v>222</v>
      </c>
      <c r="B45" s="180"/>
      <c r="C45" s="180"/>
    </row>
    <row r="46" customFormat="false" ht="15" hidden="false" customHeight="false" outlineLevel="0" collapsed="false">
      <c r="A46" s="180" t="s">
        <v>223</v>
      </c>
      <c r="B46" s="180"/>
      <c r="C46" s="177"/>
    </row>
    <row r="47" customFormat="false" ht="15" hidden="false" customHeight="false" outlineLevel="0" collapsed="false">
      <c r="A47" s="180" t="s">
        <v>224</v>
      </c>
      <c r="B47" s="180"/>
      <c r="C47" s="180"/>
    </row>
    <row r="48" customFormat="false" ht="15" hidden="false" customHeight="false" outlineLevel="0" collapsed="false">
      <c r="A48" s="180" t="s">
        <v>225</v>
      </c>
      <c r="B48" s="180"/>
      <c r="C48" s="180"/>
    </row>
  </sheetData>
  <mergeCells count="12">
    <mergeCell ref="A1:C1"/>
    <mergeCell ref="B3:C3"/>
    <mergeCell ref="B13:C13"/>
    <mergeCell ref="B23:C23"/>
    <mergeCell ref="B33:C33"/>
    <mergeCell ref="A42:C42"/>
    <mergeCell ref="A43:C43"/>
    <mergeCell ref="A44:C44"/>
    <mergeCell ref="A45:C45"/>
    <mergeCell ref="A46:B46"/>
    <mergeCell ref="A47:C47"/>
    <mergeCell ref="A48:C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37.42"/>
  </cols>
  <sheetData>
    <row r="1" customFormat="false" ht="15" hidden="false" customHeight="false" outlineLevel="0" collapsed="false">
      <c r="A1" s="1" t="s">
        <v>226</v>
      </c>
    </row>
    <row r="2" customFormat="false" ht="15" hidden="false" customHeight="false" outlineLevel="0" collapsed="false">
      <c r="A2" s="1" t="s">
        <v>227</v>
      </c>
      <c r="B2" s="0" t="s">
        <v>228</v>
      </c>
    </row>
    <row r="3" customFormat="false" ht="15.75" hidden="false" customHeight="true" outlineLevel="0" collapsed="false"/>
    <row r="4" customFormat="false" ht="72" hidden="false" customHeight="true" outlineLevel="0" collapsed="false">
      <c r="A4" s="159" t="s">
        <v>229</v>
      </c>
      <c r="B4" s="181" t="s">
        <v>230</v>
      </c>
      <c r="C4" s="159" t="s">
        <v>231</v>
      </c>
      <c r="D4" s="159" t="s">
        <v>232</v>
      </c>
      <c r="E4" s="159" t="s">
        <v>233</v>
      </c>
      <c r="F4" s="159" t="s">
        <v>234</v>
      </c>
    </row>
    <row r="5" customFormat="false" ht="15.75" hidden="false" customHeight="true" outlineLevel="0" collapsed="false">
      <c r="A5" s="161" t="s">
        <v>182</v>
      </c>
      <c r="B5" s="161"/>
      <c r="C5" s="161"/>
      <c r="D5" s="161"/>
      <c r="E5" s="161"/>
      <c r="F5" s="161"/>
    </row>
    <row r="6" customFormat="false" ht="15.75" hidden="false" customHeight="true" outlineLevel="0" collapsed="false">
      <c r="A6" s="161" t="s">
        <v>183</v>
      </c>
      <c r="B6" s="161"/>
      <c r="C6" s="161"/>
      <c r="D6" s="161"/>
      <c r="E6" s="161"/>
      <c r="F6" s="161"/>
    </row>
    <row r="7" customFormat="false" ht="15.75" hidden="false" customHeight="true" outlineLevel="0" collapsed="false">
      <c r="A7" s="161" t="s">
        <v>184</v>
      </c>
      <c r="B7" s="161"/>
      <c r="C7" s="161"/>
      <c r="D7" s="161"/>
      <c r="E7" s="161"/>
      <c r="F7" s="161"/>
    </row>
    <row r="8" customFormat="false" ht="30.75" hidden="false" customHeight="true" outlineLevel="0" collapsed="false">
      <c r="A8" s="161" t="s">
        <v>185</v>
      </c>
      <c r="B8" s="161"/>
      <c r="C8" s="161"/>
      <c r="D8" s="161"/>
      <c r="E8" s="161"/>
      <c r="F8" s="161"/>
    </row>
    <row r="9" customFormat="false" ht="15.75" hidden="false" customHeight="true" outlineLevel="0" collapsed="false">
      <c r="A9" s="161" t="s">
        <v>186</v>
      </c>
      <c r="B9" s="161"/>
      <c r="C9" s="161"/>
      <c r="D9" s="161"/>
      <c r="E9" s="161"/>
      <c r="F9" s="161"/>
    </row>
    <row r="10" customFormat="false" ht="30.75" hidden="false" customHeight="true" outlineLevel="0" collapsed="false">
      <c r="A10" s="161" t="s">
        <v>187</v>
      </c>
      <c r="B10" s="161"/>
      <c r="C10" s="161"/>
      <c r="D10" s="161"/>
      <c r="E10" s="161"/>
      <c r="F10" s="161"/>
    </row>
    <row r="11" customFormat="false" ht="15.75" hidden="false" customHeight="true" outlineLevel="0" collapsed="false">
      <c r="A11" s="161" t="s">
        <v>188</v>
      </c>
      <c r="B11" s="161"/>
      <c r="C11" s="161"/>
      <c r="D11" s="161"/>
      <c r="E11" s="161"/>
      <c r="F11" s="161"/>
    </row>
    <row r="12" customFormat="false" ht="15.75" hidden="false" customHeight="true" outlineLevel="0" collapsed="false">
      <c r="A12" s="182"/>
      <c r="B12" s="161"/>
      <c r="C12" s="161"/>
      <c r="D12" s="161"/>
      <c r="E12" s="161"/>
      <c r="F12" s="16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70.42"/>
    <col collapsed="false" customWidth="true" hidden="false" outlineLevel="0" max="2" min="2" style="1" width="8.29"/>
  </cols>
  <sheetData>
    <row r="1" customFormat="false" ht="15" hidden="false" customHeight="false" outlineLevel="0" collapsed="false">
      <c r="A1" s="1" t="s">
        <v>235</v>
      </c>
    </row>
    <row r="2" customFormat="false" ht="15.75" hidden="false" customHeight="true" outlineLevel="0" collapsed="false">
      <c r="A2" s="1" t="s">
        <v>236</v>
      </c>
    </row>
    <row r="3" customFormat="false" ht="15" hidden="false" customHeight="false" outlineLevel="0" collapsed="false">
      <c r="A3" s="183"/>
      <c r="B3" s="184"/>
      <c r="C3" s="184"/>
    </row>
    <row r="4" customFormat="false" ht="19.5" hidden="false" customHeight="true" outlineLevel="0" collapsed="false">
      <c r="A4" s="185" t="s">
        <v>56</v>
      </c>
      <c r="B4" s="172" t="n">
        <v>2025</v>
      </c>
      <c r="C4" s="172"/>
    </row>
    <row r="5" customFormat="false" ht="15.75" hidden="false" customHeight="true" outlineLevel="0" collapsed="false">
      <c r="A5" s="186"/>
      <c r="B5" s="187"/>
      <c r="C5" s="188" t="s">
        <v>106</v>
      </c>
    </row>
    <row r="6" customFormat="false" ht="16.5" hidden="false" customHeight="true" outlineLevel="0" collapsed="false">
      <c r="A6" s="189"/>
      <c r="B6" s="190" t="s">
        <v>6</v>
      </c>
      <c r="C6" s="188"/>
    </row>
    <row r="7" customFormat="false" ht="16.5" hidden="false" customHeight="true" outlineLevel="0" collapsed="false">
      <c r="A7" s="131" t="s">
        <v>237</v>
      </c>
      <c r="B7" s="191"/>
      <c r="C7" s="192"/>
    </row>
    <row r="8" customFormat="false" ht="16.5" hidden="false" customHeight="true" outlineLevel="0" collapsed="false">
      <c r="A8" s="131" t="s">
        <v>238</v>
      </c>
      <c r="B8" s="175"/>
      <c r="C8" s="176"/>
    </row>
    <row r="9" customFormat="false" ht="16.5" hidden="false" customHeight="true" outlineLevel="0" collapsed="false">
      <c r="A9" s="131" t="s">
        <v>239</v>
      </c>
      <c r="B9" s="175"/>
      <c r="C9" s="176"/>
    </row>
    <row r="10" customFormat="false" ht="16.5" hidden="false" customHeight="true" outlineLevel="0" collapsed="false">
      <c r="A10" s="131" t="s">
        <v>240</v>
      </c>
      <c r="B10" s="175"/>
      <c r="C10" s="176"/>
    </row>
    <row r="11" customFormat="false" ht="16.5" hidden="false" customHeight="true" outlineLevel="0" collapsed="false">
      <c r="A11" s="131" t="s">
        <v>241</v>
      </c>
      <c r="B11" s="175"/>
      <c r="C11" s="176"/>
    </row>
    <row r="12" customFormat="false" ht="16.5" hidden="false" customHeight="true" outlineLevel="0" collapsed="false">
      <c r="A12" s="131" t="s">
        <v>242</v>
      </c>
      <c r="B12" s="175"/>
      <c r="C12" s="176"/>
    </row>
    <row r="13" customFormat="false" ht="16.5" hidden="false" customHeight="true" outlineLevel="0" collapsed="false">
      <c r="A13" s="131" t="s">
        <v>243</v>
      </c>
      <c r="B13" s="175"/>
      <c r="C13" s="176"/>
    </row>
    <row r="14" customFormat="false" ht="16.5" hidden="false" customHeight="true" outlineLevel="0" collapsed="false">
      <c r="A14" s="131" t="s">
        <v>244</v>
      </c>
      <c r="B14" s="175"/>
      <c r="C14" s="176"/>
    </row>
    <row r="15" customFormat="false" ht="16.5" hidden="false" customHeight="true" outlineLevel="0" collapsed="false">
      <c r="A15" s="131" t="s">
        <v>245</v>
      </c>
      <c r="B15" s="175"/>
      <c r="C15" s="176"/>
    </row>
    <row r="16" customFormat="false" ht="16.5" hidden="false" customHeight="true" outlineLevel="0" collapsed="false">
      <c r="A16" s="131" t="s">
        <v>246</v>
      </c>
      <c r="B16" s="175"/>
      <c r="C16" s="176"/>
    </row>
    <row r="17" customFormat="false" ht="16.5" hidden="false" customHeight="true" outlineLevel="0" collapsed="false">
      <c r="A17" s="131" t="s">
        <v>247</v>
      </c>
      <c r="B17" s="175"/>
      <c r="C17" s="176"/>
    </row>
    <row r="18" customFormat="false" ht="16.5" hidden="false" customHeight="true" outlineLevel="0" collapsed="false">
      <c r="A18" s="131" t="s">
        <v>248</v>
      </c>
      <c r="B18" s="175"/>
      <c r="C18" s="176"/>
    </row>
    <row r="19" customFormat="false" ht="16.5" hidden="false" customHeight="true" outlineLevel="0" collapsed="false">
      <c r="A19" s="131" t="s">
        <v>249</v>
      </c>
      <c r="B19" s="191"/>
      <c r="C19" s="192"/>
    </row>
    <row r="20" customFormat="false" ht="16.5" hidden="false" customHeight="true" outlineLevel="0" collapsed="false">
      <c r="A20" s="131" t="s">
        <v>250</v>
      </c>
      <c r="B20" s="175"/>
      <c r="C20" s="176"/>
    </row>
    <row r="21" customFormat="false" ht="16.5" hidden="false" customHeight="true" outlineLevel="0" collapsed="false">
      <c r="A21" s="131" t="s">
        <v>251</v>
      </c>
      <c r="B21" s="175"/>
      <c r="C21" s="176"/>
    </row>
    <row r="22" customFormat="false" ht="16.5" hidden="false" customHeight="true" outlineLevel="0" collapsed="false">
      <c r="A22" s="131" t="s">
        <v>252</v>
      </c>
      <c r="B22" s="175"/>
      <c r="C22" s="176"/>
    </row>
    <row r="23" customFormat="false" ht="16.5" hidden="false" customHeight="true" outlineLevel="0" collapsed="false">
      <c r="A23" s="131" t="s">
        <v>253</v>
      </c>
      <c r="B23" s="175"/>
      <c r="C23" s="176"/>
    </row>
    <row r="24" customFormat="false" ht="16.5" hidden="false" customHeight="true" outlineLevel="0" collapsed="false">
      <c r="A24" s="131" t="s">
        <v>161</v>
      </c>
      <c r="B24" s="175"/>
      <c r="C24" s="176"/>
    </row>
    <row r="25" customFormat="false" ht="16.5" hidden="false" customHeight="true" outlineLevel="0" collapsed="false">
      <c r="A25" s="131" t="s">
        <v>254</v>
      </c>
      <c r="B25" s="175"/>
      <c r="C25" s="176"/>
    </row>
    <row r="26" customFormat="false" ht="15.75" hidden="false" customHeight="true" outlineLevel="0" collapsed="false">
      <c r="A26" s="193" t="s">
        <v>255</v>
      </c>
      <c r="B26" s="193"/>
      <c r="C26" s="193"/>
    </row>
  </sheetData>
  <mergeCells count="4">
    <mergeCell ref="B3:C3"/>
    <mergeCell ref="B4:C4"/>
    <mergeCell ref="C5:C6"/>
    <mergeCell ref="A26:C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37.42"/>
    <col collapsed="false" customWidth="true" hidden="false" outlineLevel="0" max="2" min="2" style="1" width="12.71"/>
  </cols>
  <sheetData>
    <row r="1" customFormat="false" ht="15" hidden="false" customHeight="false" outlineLevel="0" collapsed="false">
      <c r="A1" s="1" t="s">
        <v>226</v>
      </c>
    </row>
    <row r="2" customFormat="false" ht="15" hidden="false" customHeight="false" outlineLevel="0" collapsed="false">
      <c r="A2" s="1" t="s">
        <v>256</v>
      </c>
    </row>
    <row r="3" customFormat="false" ht="19.5" hidden="false" customHeight="true" outlineLevel="0" collapsed="false">
      <c r="A3" s="194" t="s">
        <v>257</v>
      </c>
      <c r="B3" s="168"/>
      <c r="C3" s="168"/>
    </row>
    <row r="4" customFormat="false" ht="15" hidden="false" customHeight="false" outlineLevel="0" collapsed="false">
      <c r="A4" s="195"/>
      <c r="B4" s="196" t="s">
        <v>32</v>
      </c>
      <c r="C4" s="196"/>
    </row>
    <row r="5" customFormat="false" ht="15.75" hidden="false" customHeight="true" outlineLevel="0" collapsed="false">
      <c r="A5" s="197" t="s">
        <v>32</v>
      </c>
      <c r="B5" s="196"/>
      <c r="C5" s="196"/>
    </row>
    <row r="6" customFormat="false" ht="15.75" hidden="false" customHeight="true" outlineLevel="0" collapsed="false">
      <c r="A6" s="198"/>
      <c r="B6" s="199" t="s">
        <v>6</v>
      </c>
      <c r="C6" s="200" t="s">
        <v>106</v>
      </c>
    </row>
    <row r="7" customFormat="false" ht="15.75" hidden="false" customHeight="true" outlineLevel="0" collapsed="false">
      <c r="A7" s="201" t="s">
        <v>258</v>
      </c>
      <c r="B7" s="202"/>
      <c r="C7" s="203"/>
    </row>
    <row r="8" customFormat="false" ht="15.75" hidden="false" customHeight="true" outlineLevel="0" collapsed="false">
      <c r="A8" s="201" t="s">
        <v>259</v>
      </c>
      <c r="B8" s="202"/>
      <c r="C8" s="203"/>
    </row>
    <row r="9" customFormat="false" ht="15.75" hidden="false" customHeight="true" outlineLevel="0" collapsed="false">
      <c r="A9" s="198" t="s">
        <v>260</v>
      </c>
      <c r="B9" s="202"/>
      <c r="C9" s="203"/>
    </row>
    <row r="10" customFormat="false" ht="15.75" hidden="false" customHeight="true" outlineLevel="0" collapsed="false">
      <c r="A10" s="204" t="s">
        <v>261</v>
      </c>
      <c r="B10" s="204"/>
      <c r="C10" s="204"/>
    </row>
    <row r="11" customFormat="false" ht="15.75" hidden="false" customHeight="true" outlineLevel="0" collapsed="false">
      <c r="A11" s="205" t="s">
        <v>258</v>
      </c>
      <c r="B11" s="206"/>
      <c r="C11" s="207"/>
    </row>
    <row r="12" customFormat="false" ht="15.75" hidden="false" customHeight="true" outlineLevel="0" collapsed="false">
      <c r="A12" s="201" t="s">
        <v>262</v>
      </c>
      <c r="B12" s="202"/>
      <c r="C12" s="203"/>
    </row>
    <row r="13" customFormat="false" ht="15.75" hidden="false" customHeight="true" outlineLevel="0" collapsed="false">
      <c r="A13" s="198" t="s">
        <v>263</v>
      </c>
      <c r="B13" s="202"/>
      <c r="C13" s="203"/>
    </row>
    <row r="14" customFormat="false" ht="15.75" hidden="false" customHeight="true" outlineLevel="0" collapsed="false">
      <c r="A14" s="204" t="s">
        <v>264</v>
      </c>
      <c r="B14" s="204"/>
      <c r="C14" s="204"/>
    </row>
    <row r="15" customFormat="false" ht="15.75" hidden="false" customHeight="true" outlineLevel="0" collapsed="false">
      <c r="A15" s="201" t="s">
        <v>258</v>
      </c>
      <c r="B15" s="202"/>
      <c r="C15" s="203"/>
    </row>
    <row r="16" customFormat="false" ht="15.75" hidden="false" customHeight="true" outlineLevel="0" collapsed="false">
      <c r="A16" s="201" t="s">
        <v>262</v>
      </c>
      <c r="B16" s="202"/>
      <c r="C16" s="203"/>
    </row>
    <row r="17" customFormat="false" ht="15.75" hidden="false" customHeight="true" outlineLevel="0" collapsed="false">
      <c r="A17" s="198" t="s">
        <v>265</v>
      </c>
      <c r="B17" s="202"/>
      <c r="C17" s="203"/>
    </row>
    <row r="18" customFormat="false" ht="15.75" hidden="false" customHeight="true" outlineLevel="0" collapsed="false">
      <c r="A18" s="204" t="s">
        <v>266</v>
      </c>
      <c r="B18" s="204"/>
      <c r="C18" s="204"/>
    </row>
    <row r="19" customFormat="false" ht="15.75" hidden="false" customHeight="true" outlineLevel="0" collapsed="false">
      <c r="A19" s="201" t="s">
        <v>258</v>
      </c>
      <c r="B19" s="202"/>
      <c r="C19" s="203"/>
    </row>
    <row r="20" customFormat="false" ht="15.75" hidden="false" customHeight="true" outlineLevel="0" collapsed="false">
      <c r="A20" s="201" t="s">
        <v>262</v>
      </c>
      <c r="B20" s="202"/>
      <c r="C20" s="203"/>
    </row>
    <row r="21" customFormat="false" ht="15.75" hidden="false" customHeight="true" outlineLevel="0" collapsed="false">
      <c r="A21" s="198" t="s">
        <v>267</v>
      </c>
      <c r="B21" s="202"/>
      <c r="C21" s="203"/>
    </row>
    <row r="22" customFormat="false" ht="15" hidden="false" customHeight="false" outlineLevel="0" collapsed="false">
      <c r="A22" s="177"/>
      <c r="B22" s="177"/>
      <c r="C22" s="177"/>
    </row>
    <row r="23" customFormat="false" ht="19.5" hidden="false" customHeight="true" outlineLevel="0" collapsed="false">
      <c r="A23" s="208" t="s">
        <v>268</v>
      </c>
      <c r="B23" s="168"/>
      <c r="C23" s="168"/>
    </row>
    <row r="24" customFormat="false" ht="15.75" hidden="false" customHeight="true" outlineLevel="0" collapsed="false">
      <c r="A24" s="209" t="s">
        <v>32</v>
      </c>
      <c r="B24" s="210" t="s">
        <v>32</v>
      </c>
      <c r="C24" s="210"/>
    </row>
    <row r="25" customFormat="false" ht="15.75" hidden="false" customHeight="true" outlineLevel="0" collapsed="false">
      <c r="A25" s="211" t="s">
        <v>269</v>
      </c>
      <c r="B25" s="212"/>
      <c r="C25" s="213"/>
    </row>
    <row r="26" customFormat="false" ht="15.75" hidden="false" customHeight="true" outlineLevel="0" collapsed="false">
      <c r="A26" s="211" t="s">
        <v>270</v>
      </c>
      <c r="B26" s="212"/>
      <c r="C26" s="213"/>
    </row>
    <row r="27" customFormat="false" ht="15.75" hidden="false" customHeight="true" outlineLevel="0" collapsed="false">
      <c r="A27" s="214" t="s">
        <v>271</v>
      </c>
      <c r="B27" s="215"/>
      <c r="C27" s="216"/>
    </row>
    <row r="28" customFormat="false" ht="15.75" hidden="false" customHeight="true" outlineLevel="0" collapsed="false">
      <c r="A28" s="217" t="s">
        <v>272</v>
      </c>
      <c r="B28" s="218"/>
      <c r="C28" s="219"/>
    </row>
    <row r="29" customFormat="false" ht="15.75" hidden="false" customHeight="true" outlineLevel="0" collapsed="false">
      <c r="A29" s="220" t="s">
        <v>261</v>
      </c>
      <c r="B29" s="220"/>
      <c r="C29" s="220"/>
    </row>
    <row r="30" customFormat="false" ht="15.75" hidden="false" customHeight="true" outlineLevel="0" collapsed="false">
      <c r="A30" s="211" t="s">
        <v>269</v>
      </c>
      <c r="B30" s="212"/>
      <c r="C30" s="213"/>
    </row>
    <row r="31" customFormat="false" ht="15.75" hidden="false" customHeight="true" outlineLevel="0" collapsed="false">
      <c r="A31" s="211" t="s">
        <v>270</v>
      </c>
      <c r="B31" s="212"/>
      <c r="C31" s="213"/>
    </row>
    <row r="32" customFormat="false" ht="15.75" hidden="false" customHeight="true" outlineLevel="0" collapsed="false">
      <c r="A32" s="214" t="s">
        <v>271</v>
      </c>
      <c r="B32" s="212"/>
      <c r="C32" s="213"/>
    </row>
    <row r="33" customFormat="false" ht="15.75" hidden="false" customHeight="true" outlineLevel="0" collapsed="false">
      <c r="A33" s="217" t="s">
        <v>263</v>
      </c>
      <c r="B33" s="212"/>
      <c r="C33" s="213"/>
    </row>
    <row r="34" customFormat="false" ht="15.75" hidden="false" customHeight="true" outlineLevel="0" collapsed="false">
      <c r="A34" s="220" t="s">
        <v>264</v>
      </c>
      <c r="B34" s="220"/>
      <c r="C34" s="220"/>
    </row>
    <row r="35" customFormat="false" ht="15.75" hidden="false" customHeight="true" outlineLevel="0" collapsed="false">
      <c r="A35" s="211" t="s">
        <v>269</v>
      </c>
      <c r="B35" s="212"/>
      <c r="C35" s="213"/>
    </row>
    <row r="36" customFormat="false" ht="15.75" hidden="false" customHeight="true" outlineLevel="0" collapsed="false">
      <c r="A36" s="211" t="s">
        <v>270</v>
      </c>
      <c r="B36" s="212"/>
      <c r="C36" s="213"/>
    </row>
    <row r="37" customFormat="false" ht="15.75" hidden="false" customHeight="true" outlineLevel="0" collapsed="false">
      <c r="A37" s="214" t="s">
        <v>271</v>
      </c>
      <c r="B37" s="215"/>
      <c r="C37" s="216"/>
    </row>
    <row r="38" customFormat="false" ht="15.75" hidden="false" customHeight="true" outlineLevel="0" collapsed="false">
      <c r="A38" s="217" t="s">
        <v>265</v>
      </c>
      <c r="B38" s="218"/>
      <c r="C38" s="219"/>
    </row>
    <row r="39" customFormat="false" ht="15.75" hidden="false" customHeight="true" outlineLevel="0" collapsed="false">
      <c r="A39" s="220" t="s">
        <v>266</v>
      </c>
      <c r="B39" s="220"/>
      <c r="C39" s="220"/>
    </row>
    <row r="40" customFormat="false" ht="15.75" hidden="false" customHeight="true" outlineLevel="0" collapsed="false">
      <c r="A40" s="221"/>
      <c r="B40" s="222" t="s">
        <v>6</v>
      </c>
      <c r="C40" s="223" t="s">
        <v>106</v>
      </c>
    </row>
    <row r="41" customFormat="false" ht="15.75" hidden="false" customHeight="true" outlineLevel="0" collapsed="false">
      <c r="A41" s="211" t="s">
        <v>269</v>
      </c>
      <c r="B41" s="218"/>
      <c r="C41" s="219"/>
    </row>
    <row r="42" customFormat="false" ht="15.75" hidden="false" customHeight="true" outlineLevel="0" collapsed="false">
      <c r="A42" s="211" t="s">
        <v>270</v>
      </c>
      <c r="B42" s="212"/>
      <c r="C42" s="213"/>
    </row>
    <row r="43" customFormat="false" ht="15.75" hidden="false" customHeight="true" outlineLevel="0" collapsed="false">
      <c r="A43" s="214" t="s">
        <v>271</v>
      </c>
      <c r="B43" s="215"/>
      <c r="C43" s="216"/>
    </row>
    <row r="44" customFormat="false" ht="15.75" hidden="false" customHeight="true" outlineLevel="0" collapsed="false">
      <c r="A44" s="217" t="s">
        <v>267</v>
      </c>
      <c r="B44" s="218"/>
      <c r="C44" s="219"/>
    </row>
  </sheetData>
  <mergeCells count="8">
    <mergeCell ref="B4:C5"/>
    <mergeCell ref="A10:C10"/>
    <mergeCell ref="A14:C14"/>
    <mergeCell ref="A18:C18"/>
    <mergeCell ref="B24:C24"/>
    <mergeCell ref="A29:C29"/>
    <mergeCell ref="A34:C34"/>
    <mergeCell ref="A39:C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27.86"/>
    <col collapsed="false" customWidth="true" hidden="false" outlineLevel="0" max="2" min="2" style="1" width="15.42"/>
    <col collapsed="false" customWidth="true" hidden="false" outlineLevel="0" max="4" min="4" style="1" width="17.57"/>
    <col collapsed="false" customWidth="true" hidden="false" outlineLevel="0" max="5" min="5" style="1" width="16.43"/>
  </cols>
  <sheetData>
    <row r="1" customFormat="false" ht="15" hidden="false" customHeight="false" outlineLevel="0" collapsed="false">
      <c r="A1" s="224" t="s">
        <v>273</v>
      </c>
      <c r="B1" s="224"/>
      <c r="C1" s="224"/>
      <c r="D1" s="224"/>
      <c r="E1" s="224"/>
    </row>
    <row r="2" customFormat="false" ht="15.75" hidden="false" customHeight="true" outlineLevel="0" collapsed="false">
      <c r="A2" s="27"/>
      <c r="B2" s="27"/>
      <c r="C2" s="27"/>
      <c r="D2" s="27"/>
      <c r="E2" s="27"/>
    </row>
    <row r="3" customFormat="false" ht="15" hidden="false" customHeight="false" outlineLevel="0" collapsed="false">
      <c r="A3" s="225" t="s">
        <v>274</v>
      </c>
      <c r="B3" s="9" t="s">
        <v>275</v>
      </c>
      <c r="C3" s="9" t="s">
        <v>276</v>
      </c>
      <c r="D3" s="9" t="s">
        <v>277</v>
      </c>
      <c r="E3" s="10" t="s">
        <v>278</v>
      </c>
    </row>
    <row r="4" customFormat="false" ht="15" hidden="false" customHeight="false" outlineLevel="0" collapsed="false">
      <c r="A4" s="226"/>
      <c r="B4" s="227"/>
      <c r="C4" s="227"/>
      <c r="D4" s="227"/>
      <c r="E4" s="228"/>
    </row>
    <row r="5" customFormat="false" ht="15" hidden="false" customHeight="false" outlineLevel="0" collapsed="false">
      <c r="A5" s="226"/>
      <c r="B5" s="227"/>
      <c r="C5" s="227"/>
      <c r="D5" s="227"/>
      <c r="E5" s="228"/>
    </row>
    <row r="6" customFormat="false" ht="15" hidden="false" customHeight="false" outlineLevel="0" collapsed="false">
      <c r="A6" s="226"/>
      <c r="B6" s="227"/>
      <c r="C6" s="227"/>
      <c r="D6" s="227"/>
      <c r="E6" s="228"/>
    </row>
    <row r="7" customFormat="false" ht="15" hidden="false" customHeight="false" outlineLevel="0" collapsed="false">
      <c r="A7" s="226"/>
      <c r="B7" s="227"/>
      <c r="C7" s="227"/>
      <c r="D7" s="227"/>
      <c r="E7" s="228"/>
    </row>
    <row r="8" customFormat="false" ht="15" hidden="false" customHeight="false" outlineLevel="0" collapsed="false">
      <c r="A8" s="226"/>
      <c r="B8" s="227"/>
      <c r="C8" s="227"/>
      <c r="D8" s="227"/>
      <c r="E8" s="228"/>
    </row>
    <row r="9" customFormat="false" ht="15" hidden="false" customHeight="false" outlineLevel="0" collapsed="false">
      <c r="A9" s="226"/>
      <c r="B9" s="227"/>
      <c r="C9" s="227"/>
      <c r="D9" s="227"/>
      <c r="E9" s="228"/>
    </row>
    <row r="10" customFormat="false" ht="15" hidden="false" customHeight="false" outlineLevel="0" collapsed="false">
      <c r="A10" s="226"/>
      <c r="B10" s="227"/>
      <c r="C10" s="227"/>
      <c r="D10" s="227"/>
      <c r="E10" s="228"/>
    </row>
    <row r="11" customFormat="false" ht="15" hidden="false" customHeight="false" outlineLevel="0" collapsed="false">
      <c r="A11" s="226"/>
      <c r="B11" s="227"/>
      <c r="C11" s="227"/>
      <c r="D11" s="227"/>
      <c r="E11" s="228"/>
    </row>
    <row r="12" customFormat="false" ht="15" hidden="false" customHeight="false" outlineLevel="0" collapsed="false">
      <c r="A12" s="226"/>
      <c r="B12" s="227"/>
      <c r="C12" s="227"/>
      <c r="D12" s="227"/>
      <c r="E12" s="228"/>
    </row>
    <row r="13" customFormat="false" ht="15.75" hidden="false" customHeight="true" outlineLevel="0" collapsed="false">
      <c r="A13" s="229"/>
      <c r="B13" s="230"/>
      <c r="C13" s="230"/>
      <c r="D13" s="230"/>
      <c r="E13" s="231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2014-02-13T09:49:36Z</dcterms:created>
  <dc:creator>Données fictives</dc:creator>
  <dc:description/>
  <dc:language>fr-FR</dc:language>
  <cp:lastModifiedBy>Données fictives</cp:lastModifiedBy>
  <cp:lastPrinted>2020-11-12T12:03:24Z</cp:lastPrinted>
  <dcterms:modified xsi:type="dcterms:W3CDTF">2026-10-01T15:46:26Z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