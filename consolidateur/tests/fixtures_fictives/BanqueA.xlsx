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6"/>
  </bookViews>
  <sheets>
    <sheet name="chèques&amp;VIR" sheetId="1" state="visible" r:id="rId3"/>
    <sheet name="Transfert d'argent" sheetId="2" state="visible" r:id="rId4"/>
    <sheet name="Mobile Money1" sheetId="3" state="visible" r:id="rId5"/>
    <sheet name="MobileMoney2" sheetId="4" state="visible" r:id="rId6"/>
    <sheet name="MobileMoney3" sheetId="5" state="visible" r:id="rId7"/>
    <sheet name="Cartes1" sheetId="6" state="visible" r:id="rId8"/>
    <sheet name="Cartes 2" sheetId="7" state="visible" r:id="rId9"/>
    <sheet name="Cartes 3" sheetId="8" state="visible" r:id="rId10"/>
    <sheet name="Cartes 4" sheetId="9" state="visible" r:id="rId11"/>
    <sheet name="Cartes 5" sheetId="10" state="visible" r:id="rId12"/>
    <sheet name="PrêtsCredi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<sst xmlns="http://schemas.openxmlformats.org/spreadsheetml/2006/main" count="459" uniqueCount="246">
  <si>
    <t xml:space="preserve">STATISTIQUES SUR LES INSTRUMENTS DE PAIEMENT 2025</t>
  </si>
  <si>
    <t xml:space="preserve">Etablissement :</t>
  </si>
  <si>
    <t xml:space="preserve">Nombre de compte de chèques</t>
  </si>
  <si>
    <t xml:space="preserve">Nombre de particuliers ayant des chequiers</t>
  </si>
  <si>
    <t xml:space="preserve">Nombre de personnes morales ayant des chequiers</t>
  </si>
  <si>
    <t xml:space="preserve">CHEQUES</t>
  </si>
  <si>
    <t xml:space="preserve">Nombre</t>
  </si>
  <si>
    <t xml:space="preserve">Montant</t>
  </si>
  <si>
    <t xml:space="preserve">A -Transaction par chèques entre clients de la banque</t>
  </si>
  <si>
    <t xml:space="preserve">B- Transactions par chèques SYSTAC</t>
  </si>
  <si>
    <t xml:space="preserve">           - dont émis par vos clients</t>
  </si>
  <si>
    <t xml:space="preserve">           - dont reçus </t>
  </si>
  <si>
    <t xml:space="preserve">C- Chèques internationaux (hors CEMAC)</t>
  </si>
  <si>
    <t xml:space="preserve">TOTAL (A+B+C)</t>
  </si>
  <si>
    <t xml:space="preserve">VIREMENTS</t>
  </si>
  <si>
    <t xml:space="preserve">A -Transaction par virements entre clients de la banque</t>
  </si>
  <si>
    <t xml:space="preserve">B- Transactions par virements SYSTAC</t>
  </si>
  <si>
    <t xml:space="preserve">C- Virements internationaux (hors CEMAC)</t>
  </si>
  <si>
    <t xml:space="preserve">PRELEVEMENTS</t>
  </si>
  <si>
    <t xml:space="preserve">Prelèvements dans la banque</t>
  </si>
  <si>
    <t xml:space="preserve">EFFETS DE COMMERCE</t>
  </si>
  <si>
    <t xml:space="preserve">A- Effets de commerce entre clients de la banque</t>
  </si>
  <si>
    <t xml:space="preserve">B- Effets de commerce en compensation émis par vos clients</t>
  </si>
  <si>
    <t xml:space="preserve">          - en zone CEMAC</t>
  </si>
  <si>
    <t xml:space="preserve">         - A l'international</t>
  </si>
  <si>
    <t xml:space="preserve">C- Effets de commerce en compensation reçus</t>
  </si>
  <si>
    <t xml:space="preserve">RETRAITS MANUELS</t>
  </si>
  <si>
    <t xml:space="preserve">Retrais espèces aux guichets</t>
  </si>
  <si>
    <t xml:space="preserve">STATISTIQUES TRANSFERT D'ARGENT 2025
(service de transmission de fonds)</t>
  </si>
  <si>
    <t xml:space="preserve">Remplir un formulaire pour chaque type de réseau de transfert d'argent</t>
  </si>
  <si>
    <t xml:space="preserve">Réseau:</t>
  </si>
  <si>
    <t xml:space="preserve">TOTAL TRANSACTIONS (A+B)</t>
  </si>
  <si>
    <t xml:space="preserve">TOTAL TRANSACTIONS</t>
  </si>
  <si>
    <t xml:space="preserve">valeur</t>
  </si>
  <si>
    <t xml:space="preserve">Transfert d'argent reçus</t>
  </si>
  <si>
    <t xml:space="preserve">Transfert d'argent envoi</t>
  </si>
  <si>
    <t xml:space="preserve">Total</t>
  </si>
  <si>
    <t xml:space="preserve">A- OPERATIONS DOMESTIQUES (zone CEMAC)</t>
  </si>
  <si>
    <t xml:space="preserve">             - dont Cameroun</t>
  </si>
  <si>
    <t xml:space="preserve">             - dont Tchad</t>
  </si>
  <si>
    <t xml:space="preserve">             - dont RCA</t>
  </si>
  <si>
    <t xml:space="preserve">             - dont Congo</t>
  </si>
  <si>
    <t xml:space="preserve">             - dont Gabon</t>
  </si>
  <si>
    <t xml:space="preserve">             - dont Guinée Equatoriale</t>
  </si>
  <si>
    <t xml:space="preserve">B- Transactions internationales (hors zone CEMAC)</t>
  </si>
  <si>
    <t xml:space="preserve">             - dont Afrique de l'ouest (CEDEAO)</t>
  </si>
  <si>
    <t xml:space="preserve">             - dont autres pays africains</t>
  </si>
  <si>
    <t xml:space="preserve">             - dont Union Europeenne</t>
  </si>
  <si>
    <t xml:space="preserve">              - dont autres pays d'Europe</t>
  </si>
  <si>
    <t xml:space="preserve">             - dont Amérique du Nord</t>
  </si>
  <si>
    <t xml:space="preserve">             - dont Amérique du Sud</t>
  </si>
  <si>
    <t xml:space="preserve">             - dont Asie</t>
  </si>
  <si>
    <t xml:space="preserve">             - dont Oceanie</t>
  </si>
  <si>
    <t xml:space="preserve">             - dont autres pays d'Europe</t>
  </si>
  <si>
    <t xml:space="preserve">INFORMATIONS SUR LE MOBILE MONEY</t>
  </si>
  <si>
    <t xml:space="preserve">Service :</t>
  </si>
  <si>
    <t xml:space="preserve">Nature de l’information</t>
  </si>
  <si>
    <t xml:space="preserve">Encours de monnaie électronique </t>
  </si>
  <si>
    <t xml:space="preserve">Solde du compte « miroir » garantissant l’encours de monnaie électronique émise</t>
  </si>
  <si>
    <t xml:space="preserve">Nombre total de porteurs de Mobile Money</t>
  </si>
  <si>
    <t xml:space="preserve">Nombre de porteurs de Mobile Money actifs (1)</t>
  </si>
  <si>
    <t xml:space="preserve">Nombre de porteurs de Mobile Money disposant d’un compte bancaire</t>
  </si>
  <si>
    <t xml:space="preserve">Nombre de porteurs de Mobile Money salariés</t>
  </si>
  <si>
    <t xml:space="preserve">Nombre de porteurs de Mobile Money étudiants ou élèves</t>
  </si>
  <si>
    <t xml:space="preserve">Nombre de porteurs de Mobile Money sans profession déclarée</t>
  </si>
  <si>
    <t xml:space="preserve">Nombre de porteurs de Mobile Money de sexe féminin</t>
  </si>
  <si>
    <t xml:space="preserve">Nombre de porteurs de Mobile Money de sexe masculin</t>
  </si>
  <si>
    <t xml:space="preserve">Nombre de porteurs de Mobile Money agés de moins de 21 ans</t>
  </si>
  <si>
    <t xml:space="preserve">Nombre de porteurs de Mobile Money agés de 21 à 35 ans</t>
  </si>
  <si>
    <t xml:space="preserve">Nombre de porteurs de Mobile Money agés entre 35 et 60 ans</t>
  </si>
  <si>
    <t xml:space="preserve">Nombre de porteurs de Mobile Money agés de plus de 60 ans</t>
  </si>
  <si>
    <t xml:space="preserve">Nombre total d’accepteurs de mobile Money</t>
  </si>
  <si>
    <t xml:space="preserve">Nombre d’accepteurs de mobile Money transports et voyages</t>
  </si>
  <si>
    <t xml:space="preserve">Nombre d’accepteurs de mobile Money Règlement de factures eau, électricités, téléphone, services de télécommunications et télévision</t>
  </si>
  <si>
    <t xml:space="preserve">Nombre d’accepteurs de mobile Money Supemachés, magasins d’équipement menager</t>
  </si>
  <si>
    <t xml:space="preserve">Nombre d’accepteurs de mobile Money Administrations et services publics</t>
  </si>
  <si>
    <t xml:space="preserve">Nombre d’accepteurs de mobile Money divertissements et loisirs</t>
  </si>
  <si>
    <t xml:space="preserve">Nombre d’accepteurs de mobile Money Alimentation et boissons</t>
  </si>
  <si>
    <t xml:space="preserve">Nombre d’accepteurs de mobile Money Vente à distance</t>
  </si>
  <si>
    <t xml:space="preserve">Nombre d’accepteurs de mobile Money Garage, voiture, moto et pièces detachées</t>
  </si>
  <si>
    <t xml:space="preserve">Nombre d’accepteurs de mobile Money Universités et écoles / services aux étudiants et élèves</t>
  </si>
  <si>
    <t xml:space="preserve">Nombre d’accepteurs de mobile Money Pétrole / Essence / stations services</t>
  </si>
  <si>
    <t xml:space="preserve">Nombre d’accepteurs de mobile Money Hotels et autres services d’hebergement</t>
  </si>
  <si>
    <t xml:space="preserve">Nombre d’accepteurs de mobile Money services divers (2)</t>
  </si>
  <si>
    <t xml:space="preserve">Nombre d’accepteurs de mobile Money autres détaillants (3)</t>
  </si>
  <si>
    <t xml:space="preserve">Nombre de distributeurs de Mobile Money</t>
  </si>
  <si>
    <t xml:space="preserve">Nombre de cartes prépayées actives</t>
  </si>
  <si>
    <t xml:space="preserve">Nombre de porteurs de cartes prépayées actifs (1)</t>
  </si>
  <si>
    <t xml:space="preserve">Nombre de porteurs de cartes prépayés salariés</t>
  </si>
  <si>
    <t xml:space="preserve">Nombre de porteurs de cartes prépayées étudiants ou élèves</t>
  </si>
  <si>
    <t xml:space="preserve">Nombre de porteurs de cartes prépayées sans profession déclarée</t>
  </si>
  <si>
    <t xml:space="preserve">Nombre de porteurs de cartes prépayées de sexe féminin</t>
  </si>
  <si>
    <t xml:space="preserve">Nombre de porteurs de cartes prépayées de sexe masculin</t>
  </si>
  <si>
    <t xml:space="preserve">Nombre de porteurs de cartes prépayées agés de moins de 21 ans</t>
  </si>
  <si>
    <t xml:space="preserve">Nombre de porteurs de cartes prépayées agés entre 21 et 35 ans</t>
  </si>
  <si>
    <t xml:space="preserve">Nombre de porteurs de cartes prépayées agés entre 35 et 60 ans </t>
  </si>
  <si>
    <t xml:space="preserve">Nombre de porteurs de cartes prépayées agés de plus de 60 ans</t>
  </si>
  <si>
    <t xml:space="preserve">Encours total de  monnaie électronique dans les cartes prépayées (4)</t>
  </si>
  <si>
    <t xml:space="preserve">(1) porteurs qui ont effectué au moins une transaction au cours des 30 derniers jours</t>
  </si>
  <si>
    <t xml:space="preserve">(2) autres services non repertoriés ailleurs</t>
  </si>
  <si>
    <t xml:space="preserve">(3) vente de biens non repertoriés ailleurs</t>
  </si>
  <si>
    <t xml:space="preserve">(4) somme des soldes des comptes de monnaie électronique</t>
  </si>
  <si>
    <t xml:space="preserve">TRANSACTIONS DE MOBILE MONEY 2025</t>
  </si>
  <si>
    <t xml:space="preserve">TOTAL 2025</t>
  </si>
  <si>
    <t xml:space="preserve">Nombre </t>
  </si>
  <si>
    <t xml:space="preserve">Valeur</t>
  </si>
  <si>
    <t xml:space="preserve">Recharge  de monnaie électronique(1)</t>
  </si>
  <si>
    <t xml:space="preserve">Transfert d'argent sur support de monnaie électronique (2)</t>
  </si>
  <si>
    <t xml:space="preserve">Retraits automates à partir de support de monnaie électronique (3)</t>
  </si>
  <si>
    <t xml:space="preserve">Retraits au guichet à partir de support de monnaie électronique (4)</t>
  </si>
  <si>
    <t xml:space="preserve">Paiement total en monnaie électronique (5)</t>
  </si>
  <si>
    <t xml:space="preserve">Transports et voyages (0,5%)</t>
  </si>
  <si>
    <t xml:space="preserve">Eau (0,4%)</t>
  </si>
  <si>
    <t xml:space="preserve">Electricité (7,9%)</t>
  </si>
  <si>
    <t xml:space="preserve">Téléphone (15,1%)</t>
  </si>
  <si>
    <t xml:space="preserve">Télévision (4,1%)</t>
  </si>
  <si>
    <t xml:space="preserve">Supemachés, magasins d’équipement menager (1,3%)</t>
  </si>
  <si>
    <t xml:space="preserve">Administrations et services publics (0,1%)</t>
  </si>
  <si>
    <t xml:space="preserve">Divertissements et loisirs (3,4%)</t>
  </si>
  <si>
    <t xml:space="preserve">Alimentation et boissons (11,8%)</t>
  </si>
  <si>
    <t xml:space="preserve">Vente à distance (22,1%)</t>
  </si>
  <si>
    <t xml:space="preserve">Garage, voiture, moto et pièces detachées</t>
  </si>
  <si>
    <t xml:space="preserve">Universités et écoles (2%)</t>
  </si>
  <si>
    <t xml:space="preserve">Stations services (5,7%)</t>
  </si>
  <si>
    <t xml:space="preserve">Services divers (9,3%)</t>
  </si>
  <si>
    <t xml:space="preserve">Hebergement</t>
  </si>
  <si>
    <t xml:space="preserve">Autres detaillants (14,8%)</t>
  </si>
  <si>
    <t xml:space="preserve">     -dont Paiements autres détaillants</t>
  </si>
  <si>
    <t xml:space="preserve">(1) La recharge correspond à une opération de crédit dans le compte de monnaie électronique du porteur, contre remise d'espèces ou débit d'un compte bancaire</t>
  </si>
  <si>
    <t xml:space="preserve">(2) Le transfert d'argent est une opération de crédit dans le compte de monnaie électronique, résultant du débit d'un autre compte de monnaie électronique</t>
  </si>
  <si>
    <t xml:space="preserve">(3) Le retrait automates renvoie à une opération de retraits d’espèces des porteurs effectués sur les automates</t>
  </si>
  <si>
    <t xml:space="preserve">(4) Le retrait au guichet correspond aux retraits manuels des porteurs dans les guichets de la banque, du partenaire technique et des distributeurs</t>
  </si>
  <si>
    <t xml:space="preserve">(5) Le paiement en monnaie électronique consiste en une opération effectuée auprès de commercçants, y compris les règlements de facture</t>
  </si>
  <si>
    <t xml:space="preserve">MOBILE MONEY : TRANSACTIONS INTEROPERABLES 2025</t>
  </si>
  <si>
    <t xml:space="preserve">SATISTIQUES CARTES BANCAIRES 2025</t>
  </si>
  <si>
    <t xml:space="preserve">Nom de l'établissement : </t>
  </si>
  <si>
    <t xml:space="preserve">BANQUE A (fictive)</t>
  </si>
  <si>
    <t xml:space="preserve">Nobre de clients : </t>
  </si>
  <si>
    <t xml:space="preserve">Nombre de comptes :</t>
  </si>
  <si>
    <t xml:space="preserve">Nombre de cartes</t>
  </si>
  <si>
    <t xml:space="preserve">Type de cartes</t>
  </si>
  <si>
    <t xml:space="preserve">Cartes de crédit</t>
  </si>
  <si>
    <t xml:space="preserve">Cartes de débit différé</t>
  </si>
  <si>
    <t xml:space="preserve">Cartes de débit</t>
  </si>
  <si>
    <t xml:space="preserve">Cartes prépayées</t>
  </si>
  <si>
    <t xml:space="preserve">TOTAL</t>
  </si>
  <si>
    <t xml:space="preserve">Transactions cartes 2025</t>
  </si>
  <si>
    <t xml:space="preserve">*</t>
  </si>
  <si>
    <t xml:space="preserve">Valeur des transactions</t>
  </si>
  <si>
    <t xml:space="preserve">Privative</t>
  </si>
  <si>
    <t xml:space="preserve">GIMAC</t>
  </si>
  <si>
    <t xml:space="preserve">VISA</t>
  </si>
  <si>
    <t xml:space="preserve">MASTERCARD</t>
  </si>
  <si>
    <t xml:space="preserve">UnionPay</t>
  </si>
  <si>
    <t xml:space="preserve">American Express</t>
  </si>
  <si>
    <t xml:space="preserve">Autres ………………..</t>
  </si>
  <si>
    <t xml:space="preserve">Fraude sur les cartes</t>
  </si>
  <si>
    <t xml:space="preserve">Nombre de transactions frauduleuses</t>
  </si>
  <si>
    <t xml:space="preserve">Montant de la fraude</t>
  </si>
  <si>
    <t xml:space="preserve">TRANSACTIONS CARTES EN EMISSION</t>
  </si>
  <si>
    <t xml:space="preserve">Réseau :</t>
  </si>
  <si>
    <t xml:space="preserve">(remplir un formulaire pour chacun des réseaux de cartes)</t>
  </si>
  <si>
    <t xml:space="preserve">TRANSACTIONS TOTALES</t>
  </si>
  <si>
    <t xml:space="preserve">Paiements / achats</t>
  </si>
  <si>
    <t xml:space="preserve">                                                      </t>
  </si>
  <si>
    <t xml:space="preserve">                                                                                                        </t>
  </si>
  <si>
    <t xml:space="preserve"> -dont vente à distance (3)</t>
  </si>
  <si>
    <t xml:space="preserve">                                                     </t>
  </si>
  <si>
    <t xml:space="preserve">                                                                                                       </t>
  </si>
  <si>
    <t xml:space="preserve">retraits GAB</t>
  </si>
  <si>
    <t xml:space="preserve">Transferts (4)</t>
  </si>
  <si>
    <t xml:space="preserve">                                                    </t>
  </si>
  <si>
    <t xml:space="preserve">Avoirs / Crédits (5)</t>
  </si>
  <si>
    <t xml:space="preserve">Remboursements (6)</t>
  </si>
  <si>
    <t xml:space="preserve">Total (A) = B+C+D</t>
  </si>
  <si>
    <t xml:space="preserve"> TRANSACTIONS DANS LA BANQUE     </t>
  </si>
  <si>
    <t xml:space="preserve">     -dont vente à distance</t>
  </si>
  <si>
    <t xml:space="preserve">Transferts</t>
  </si>
  <si>
    <t xml:space="preserve">Avoirs / Crédits</t>
  </si>
  <si>
    <t xml:space="preserve">Remboursements</t>
  </si>
  <si>
    <t xml:space="preserve">Total (B)</t>
  </si>
  <si>
    <t xml:space="preserve">TRANSACTIONS DANS LA CEMAC (2)    </t>
  </si>
  <si>
    <t xml:space="preserve">Total ( C)</t>
  </si>
  <si>
    <t xml:space="preserve">TRANSACTIONS INTERNATIONALES (2)  </t>
  </si>
  <si>
    <t xml:space="preserve">     - dont vente à ditance</t>
  </si>
  <si>
    <t xml:space="preserve">Total (D)</t>
  </si>
  <si>
    <t xml:space="preserve">(1) Transactions dans les guichets ou les automates localisés dans la CEMAC autres que ceux de la banque</t>
  </si>
  <si>
    <t xml:space="preserve">(2) Transations dans les guichets ou les automates localisés hors de la CEMAC </t>
  </si>
  <si>
    <t xml:space="preserve">(3) opérations d'achats de biens ou de services réalisés sans la présence effective du porteur dans une boutique (internet, téléphone etc,)</t>
  </si>
  <si>
    <t xml:space="preserve">(4) Transfert carte vers une autre carte ou de la carte vers un porte-monnaie électronique</t>
  </si>
  <si>
    <t xml:space="preserve">(5) opération de crédit à l'initiative des commerçants</t>
  </si>
  <si>
    <t xml:space="preserve">(6) opération de crédit à l'initiative d'une banque en annulation d'une transaction à la suite d'une réclamation du porteur</t>
  </si>
  <si>
    <t xml:space="preserve">Total = Paiements + Retraits + Transferts + Avoirs - Remboursements</t>
  </si>
  <si>
    <t xml:space="preserve">TRANSACTIONS CARTES EN ACQUISITION</t>
  </si>
  <si>
    <t xml:space="preserve">Réseau : </t>
  </si>
  <si>
    <t xml:space="preserve">(remplir un formuaire par réseau)</t>
  </si>
  <si>
    <t xml:space="preserve">Réseau</t>
  </si>
  <si>
    <t xml:space="preserve">Nombre de GAB</t>
  </si>
  <si>
    <t xml:space="preserve">Nombre de TPE</t>
  </si>
  <si>
    <t xml:space="preserve">TPE acceptant les cartes sans contact</t>
  </si>
  <si>
    <t xml:space="preserve">Nombre de Commerçants </t>
  </si>
  <si>
    <t xml:space="preserve">Nombre de e-commerce </t>
  </si>
  <si>
    <t xml:space="preserve">PAIEMENTS PAR CARTES 2025</t>
  </si>
  <si>
    <t xml:space="preserve">Réseau :  (remplir un formulaire par réseau)</t>
  </si>
  <si>
    <t xml:space="preserve">Total des paiements</t>
  </si>
  <si>
    <t xml:space="preserve">     - dont Paiements transports et voyages</t>
  </si>
  <si>
    <t xml:space="preserve">     - dont Paiements facture d’eau</t>
  </si>
  <si>
    <t xml:space="preserve">     -dont Paiements facture d’électricité</t>
  </si>
  <si>
    <t xml:space="preserve">     -dont Paiements facture téléphone postpayé et prépayé</t>
  </si>
  <si>
    <t xml:space="preserve">     -dont Paiements télévision et autres services de télécommunication</t>
  </si>
  <si>
    <t xml:space="preserve">     - dont Paiements Supermarchés, magasins d’équipement ménager</t>
  </si>
  <si>
    <t xml:space="preserve">     - dont Paiements Administrations et services publics</t>
  </si>
  <si>
    <t xml:space="preserve">     -dont Paiements divertissements et loisirs</t>
  </si>
  <si>
    <t xml:space="preserve">     -dont Paiements Alimentation et boissons</t>
  </si>
  <si>
    <t xml:space="preserve">     -dont Paiements Vente à distance (1)</t>
  </si>
  <si>
    <t xml:space="preserve">     - dont Paiements Garage, voiture, moto et pièces détachées</t>
  </si>
  <si>
    <t xml:space="preserve">     - dont Paiements Universités et écoles / services aux étudiants et élèves</t>
  </si>
  <si>
    <t xml:space="preserve">     -dont Paiements Pétrole / Essence / stations-services</t>
  </si>
  <si>
    <t xml:space="preserve">     -dont Paiements Services divers</t>
  </si>
  <si>
    <t xml:space="preserve">     -dont Paiements Hotels et autres services d’hébergement</t>
  </si>
  <si>
    <t xml:space="preserve">     -dont Paiements services divers</t>
  </si>
  <si>
    <t xml:space="preserve">     -dont Paiements restaurant</t>
  </si>
  <si>
    <t xml:space="preserve">(1) Sur Internet</t>
  </si>
  <si>
    <t xml:space="preserve">(Pour chacun de vos réseau d’acquisition, veuillez renseigner les statistiques suivantes concernant les transactions des autres porteurs sur vos automates )</t>
  </si>
  <si>
    <t xml:space="preserve">Retrait d'argent</t>
  </si>
  <si>
    <t xml:space="preserve">Retrait GAB</t>
  </si>
  <si>
    <t xml:space="preserve">Retrait manuel (2)</t>
  </si>
  <si>
    <t xml:space="preserve">Total A =B+C+D</t>
  </si>
  <si>
    <t xml:space="preserve">TRANSACTIONS DE VOS PORTEURS</t>
  </si>
  <si>
    <t xml:space="preserve">Retrait manuel</t>
  </si>
  <si>
    <t xml:space="preserve">Total B</t>
  </si>
  <si>
    <t xml:space="preserve">TRANSACTIONS DES PORTEURS DE LA CEMAC</t>
  </si>
  <si>
    <t xml:space="preserve">Total C</t>
  </si>
  <si>
    <t xml:space="preserve">TRANSACTIONS DES PORTEURS INTERNATIONAUX</t>
  </si>
  <si>
    <t xml:space="preserve">Total D</t>
  </si>
  <si>
    <t xml:space="preserve">TPE</t>
  </si>
  <si>
    <t xml:space="preserve">Paiement</t>
  </si>
  <si>
    <t xml:space="preserve">  - Dont paiement à distance</t>
  </si>
  <si>
    <t xml:space="preserve">Annulation/remboursement</t>
  </si>
  <si>
    <t xml:space="preserve">Total A = B+C+D</t>
  </si>
  <si>
    <t xml:space="preserve">PRETS / CREDITS OCTROYEES AUX PARTICUIERSEN 2025</t>
  </si>
  <si>
    <t xml:space="preserve">Type de prêt (nom du service)</t>
  </si>
  <si>
    <t xml:space="preserve">Durée (en jours)</t>
  </si>
  <si>
    <t xml:space="preserve">TEG</t>
  </si>
  <si>
    <t xml:space="preserve">Montants octroyés</t>
  </si>
  <si>
    <t xml:space="preserve">remboursements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</si>
</sst>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_-* #,##0.00\ _€_-;\-* #,##0.00\ _€_-;_-* \-??\ _€_-;_-@_-"/>
    <numFmt numFmtId="167" formatCode="_-* #,##0\ _€_-;\-* #,##0\ _€_-;_-* \-??\ _€_-;_-@_-"/>
    <numFmt numFmtId="168" formatCode="mmm\-yy"/>
    <numFmt numFmtId="169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FF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6"/>
      <color theme="1"/>
      <name val="Calibri"/>
      <family val="2"/>
      <charset val="1"/>
    </font>
    <font>
      <sz val="14"/>
      <color rgb="FF0000F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12">
    <fill>
      <patternFill patternType="none"/>
    </fill>
    <fill>
      <patternFill patternType="gray125"/>
    </fill>
    <fill>
      <patternFill patternType="solid">
        <fgColor rgb="FF996600"/>
        <bgColor rgb="FF993300"/>
      </patternFill>
    </fill>
    <fill>
      <patternFill patternType="solid">
        <fgColor rgb="FFFFFF99"/>
        <bgColor rgb="FFEBF1DE"/>
      </patternFill>
    </fill>
    <fill>
      <patternFill patternType="solid">
        <fgColor theme="6" tint="0.5999"/>
        <bgColor rgb="FFEBF1DE"/>
      </patternFill>
    </fill>
    <fill>
      <patternFill patternType="solid">
        <fgColor rgb="FFFF99FF"/>
        <bgColor rgb="FFCC99FF"/>
      </patternFill>
    </fill>
    <fill>
      <patternFill patternType="solid">
        <fgColor theme="6" tint="0.7999"/>
        <bgColor rgb="FFD7E4BD"/>
      </patternFill>
    </fill>
    <fill>
      <patternFill patternType="solid">
        <fgColor rgb="FFC4C4C4"/>
        <bgColor rgb="FFBDBDBD"/>
      </patternFill>
    </fill>
    <fill>
      <patternFill patternType="solid">
        <fgColor theme="0"/>
        <bgColor rgb="FFEBF1DE"/>
      </patternFill>
    </fill>
    <fill>
      <patternFill patternType="solid">
        <fgColor rgb="FFBDBDBD"/>
        <bgColor rgb="FFC4C4C4"/>
      </patternFill>
    </fill>
    <fill>
      <patternFill patternType="solid">
        <fgColor rgb="FF99CCFF"/>
        <bgColor rgb="FFC4C4C4"/>
      </patternFill>
    </fill>
    <fill>
      <patternFill patternType="solid">
        <fgColor rgb="FFCCFFCC"/>
        <bgColor rgb="FFCCFFFF"/>
      </patternFill>
    </fill>
  </fills>
  <borders count="5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medium"/>
      <top/>
      <bottom style="double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 style="medium"/>
      <bottom style="thick"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/>
      <right style="thick"/>
      <top/>
      <bottom style="medium"/>
      <diagonal/>
    </border>
    <border diagonalUp="false" diagonalDown="false">
      <left style="medium"/>
      <right style="medium"/>
      <top style="thick"/>
      <bottom style="thick"/>
      <diagonal/>
    </border>
    <border diagonalUp="false" diagonalDown="false">
      <left style="medium"/>
      <right style="medium"/>
      <top/>
      <bottom style="thick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2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2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2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2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2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2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3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3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2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3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3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3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4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4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4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4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4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4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4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4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4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1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11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11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BDBDBD"/>
      <rgbColor rgb="FF808080"/>
      <rgbColor rgb="FF9999FF"/>
      <rgbColor rgb="FF993366"/>
      <rgbColor rgb="FFEBF1DE"/>
      <rgbColor rgb="FFD7E4BD"/>
      <rgbColor rgb="FF660066"/>
      <rgbColor rgb="FFFF8080"/>
      <rgbColor rgb="FF0066CC"/>
      <rgbColor rgb="FFC4C4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55.42"/>
    <col collapsed="false" customWidth="true" hidden="false" outlineLevel="0" max="2" min="2" style="0" width="15.85"/>
    <col collapsed="false" customWidth="true" hidden="false" outlineLevel="0" max="3" min="3" style="0" width="19.57"/>
  </cols>
  <sheetData>
    <row r="1" customFormat="false" ht="18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3"/>
      <c r="C2" s="3"/>
    </row>
    <row r="3" customFormat="false" ht="15" hidden="false" customHeight="false" outlineLevel="0" collapsed="false">
      <c r="A3" s="4" t="s">
        <v>2</v>
      </c>
      <c r="B3" s="4"/>
    </row>
    <row r="4" customFormat="false" ht="15" hidden="false" customHeight="false" outlineLevel="0" collapsed="false">
      <c r="A4" s="5" t="s">
        <v>3</v>
      </c>
      <c r="B4" s="5"/>
    </row>
    <row r="5" customFormat="false" ht="15" hidden="false" customHeight="false" outlineLevel="0" collapsed="false">
      <c r="A5" s="4" t="s">
        <v>4</v>
      </c>
      <c r="B5" s="4"/>
    </row>
    <row r="7" customFormat="false" ht="15.75" hidden="false" customHeight="true" outlineLevel="0" collapsed="false">
      <c r="A7" s="6" t="s">
        <v>5</v>
      </c>
    </row>
    <row r="8" customFormat="false" ht="15" hidden="false" customHeight="false" outlineLevel="0" collapsed="false">
      <c r="A8" s="7"/>
      <c r="B8" s="8" t="s">
        <v>6</v>
      </c>
      <c r="C8" s="9" t="s">
        <v>7</v>
      </c>
    </row>
    <row r="9" customFormat="false" ht="15" hidden="false" customHeight="false" outlineLevel="0" collapsed="false">
      <c r="A9" s="10" t="s">
        <v>8</v>
      </c>
      <c r="B9" s="4"/>
      <c r="C9" s="11"/>
    </row>
    <row r="10" customFormat="false" ht="15" hidden="false" customHeight="false" outlineLevel="0" collapsed="false">
      <c r="A10" s="12" t="s">
        <v>9</v>
      </c>
      <c r="B10" s="5" t="n">
        <f aca="false">B11+B12</f>
        <v>0</v>
      </c>
      <c r="C10" s="5" t="n">
        <f aca="false">C11+C12</f>
        <v>0</v>
      </c>
    </row>
    <row r="11" customFormat="false" ht="15" hidden="false" customHeight="false" outlineLevel="0" collapsed="false">
      <c r="A11" s="12" t="s">
        <v>10</v>
      </c>
      <c r="B11" s="5"/>
      <c r="C11" s="13"/>
    </row>
    <row r="12" customFormat="false" ht="15" hidden="false" customHeight="false" outlineLevel="0" collapsed="false">
      <c r="A12" s="12" t="s">
        <v>11</v>
      </c>
      <c r="B12" s="5"/>
      <c r="C12" s="13"/>
    </row>
    <row r="13" customFormat="false" ht="15" hidden="false" customHeight="false" outlineLevel="0" collapsed="false">
      <c r="A13" s="10" t="s">
        <v>12</v>
      </c>
      <c r="B13" s="4" t="n">
        <f aca="false">B14+B15</f>
        <v>0</v>
      </c>
      <c r="C13" s="4" t="n">
        <f aca="false">C14+C15</f>
        <v>0</v>
      </c>
    </row>
    <row r="14" customFormat="false" ht="15" hidden="false" customHeight="false" outlineLevel="0" collapsed="false">
      <c r="A14" s="14" t="s">
        <v>10</v>
      </c>
      <c r="B14" s="15"/>
      <c r="C14" s="16"/>
    </row>
    <row r="15" customFormat="false" ht="15" hidden="false" customHeight="false" outlineLevel="0" collapsed="false">
      <c r="A15" s="14" t="s">
        <v>11</v>
      </c>
      <c r="B15" s="15"/>
      <c r="C15" s="16"/>
    </row>
    <row r="16" customFormat="false" ht="15.75" hidden="false" customHeight="true" outlineLevel="0" collapsed="false">
      <c r="A16" s="17" t="s">
        <v>13</v>
      </c>
      <c r="B16" s="18" t="n">
        <f aca="false">B13+B10+B9</f>
        <v>0</v>
      </c>
      <c r="C16" s="19" t="n">
        <f aca="false">C13+C10+C9</f>
        <v>0</v>
      </c>
    </row>
    <row r="18" customFormat="false" ht="15.75" hidden="false" customHeight="true" outlineLevel="0" collapsed="false">
      <c r="A18" s="6" t="s">
        <v>14</v>
      </c>
    </row>
    <row r="19" customFormat="false" ht="15" hidden="false" customHeight="false" outlineLevel="0" collapsed="false">
      <c r="A19" s="7"/>
      <c r="B19" s="8" t="s">
        <v>6</v>
      </c>
      <c r="C19" s="9" t="s">
        <v>7</v>
      </c>
    </row>
    <row r="20" customFormat="false" ht="15" hidden="false" customHeight="false" outlineLevel="0" collapsed="false">
      <c r="A20" s="10" t="s">
        <v>15</v>
      </c>
      <c r="B20" s="4"/>
      <c r="C20" s="11"/>
    </row>
    <row r="21" customFormat="false" ht="15" hidden="false" customHeight="false" outlineLevel="0" collapsed="false">
      <c r="A21" s="12" t="s">
        <v>16</v>
      </c>
      <c r="B21" s="5" t="n">
        <f aca="false">B22+B23</f>
        <v>0</v>
      </c>
      <c r="C21" s="5" t="n">
        <f aca="false">C22+C23</f>
        <v>0</v>
      </c>
    </row>
    <row r="22" customFormat="false" ht="15" hidden="false" customHeight="false" outlineLevel="0" collapsed="false">
      <c r="A22" s="12" t="s">
        <v>10</v>
      </c>
      <c r="B22" s="5"/>
      <c r="C22" s="13"/>
    </row>
    <row r="23" customFormat="false" ht="15" hidden="false" customHeight="false" outlineLevel="0" collapsed="false">
      <c r="A23" s="12" t="s">
        <v>11</v>
      </c>
      <c r="B23" s="5"/>
      <c r="C23" s="13"/>
    </row>
    <row r="24" customFormat="false" ht="15" hidden="false" customHeight="false" outlineLevel="0" collapsed="false">
      <c r="A24" s="10" t="s">
        <v>17</v>
      </c>
      <c r="B24" s="4" t="n">
        <f aca="false">B25+B26</f>
        <v>0</v>
      </c>
      <c r="C24" s="4" t="n">
        <f aca="false">C25+C26</f>
        <v>0</v>
      </c>
    </row>
    <row r="25" customFormat="false" ht="15" hidden="false" customHeight="false" outlineLevel="0" collapsed="false">
      <c r="A25" s="14" t="s">
        <v>10</v>
      </c>
      <c r="B25" s="15"/>
      <c r="C25" s="16"/>
    </row>
    <row r="26" customFormat="false" ht="15" hidden="false" customHeight="false" outlineLevel="0" collapsed="false">
      <c r="A26" s="14" t="s">
        <v>11</v>
      </c>
      <c r="B26" s="15"/>
      <c r="C26" s="16"/>
    </row>
    <row r="27" customFormat="false" ht="15.75" hidden="false" customHeight="true" outlineLevel="0" collapsed="false">
      <c r="A27" s="17" t="s">
        <v>13</v>
      </c>
      <c r="B27" s="18" t="n">
        <f aca="false">B24+B21+B20</f>
        <v>0</v>
      </c>
      <c r="C27" s="19" t="n">
        <f aca="false">C24+C21+C20</f>
        <v>0</v>
      </c>
    </row>
    <row r="30" customFormat="false" ht="15.75" hidden="false" customHeight="true" outlineLevel="0" collapsed="false">
      <c r="A30" s="6" t="s">
        <v>18</v>
      </c>
    </row>
    <row r="31" customFormat="false" ht="15" hidden="false" customHeight="false" outlineLevel="0" collapsed="false">
      <c r="A31" s="7"/>
      <c r="B31" s="8" t="s">
        <v>6</v>
      </c>
      <c r="C31" s="9" t="s">
        <v>7</v>
      </c>
    </row>
    <row r="32" customFormat="false" ht="15.75" hidden="false" customHeight="true" outlineLevel="0" collapsed="false">
      <c r="A32" s="20" t="s">
        <v>19</v>
      </c>
      <c r="B32" s="21"/>
      <c r="C32" s="22"/>
    </row>
    <row r="35" customFormat="false" ht="15.75" hidden="false" customHeight="true" outlineLevel="0" collapsed="false">
      <c r="A35" s="6" t="s">
        <v>20</v>
      </c>
    </row>
    <row r="36" customFormat="false" ht="15" hidden="false" customHeight="false" outlineLevel="0" collapsed="false">
      <c r="A36" s="7"/>
      <c r="B36" s="8" t="s">
        <v>6</v>
      </c>
      <c r="C36" s="9" t="s">
        <v>7</v>
      </c>
    </row>
    <row r="37" customFormat="false" ht="15" hidden="false" customHeight="false" outlineLevel="0" collapsed="false">
      <c r="A37" s="10" t="s">
        <v>21</v>
      </c>
      <c r="B37" s="4"/>
      <c r="C37" s="11"/>
    </row>
    <row r="38" customFormat="false" ht="15" hidden="false" customHeight="false" outlineLevel="0" collapsed="false">
      <c r="A38" s="12" t="s">
        <v>22</v>
      </c>
      <c r="B38" s="5" t="n">
        <f aca="false">B39+B40</f>
        <v>0</v>
      </c>
      <c r="C38" s="13" t="n">
        <f aca="false">C39+C40</f>
        <v>0</v>
      </c>
    </row>
    <row r="39" customFormat="false" ht="15" hidden="false" customHeight="false" outlineLevel="0" collapsed="false">
      <c r="A39" s="12" t="s">
        <v>23</v>
      </c>
      <c r="B39" s="5"/>
      <c r="C39" s="13"/>
    </row>
    <row r="40" customFormat="false" ht="15" hidden="false" customHeight="false" outlineLevel="0" collapsed="false">
      <c r="A40" s="12" t="s">
        <v>24</v>
      </c>
      <c r="B40" s="5"/>
      <c r="C40" s="13"/>
    </row>
    <row r="41" customFormat="false" ht="15" hidden="false" customHeight="false" outlineLevel="0" collapsed="false">
      <c r="A41" s="10" t="s">
        <v>25</v>
      </c>
      <c r="B41" s="4" t="n">
        <f aca="false">B42+B43</f>
        <v>0</v>
      </c>
      <c r="C41" s="11" t="n">
        <f aca="false">C42+C43</f>
        <v>0</v>
      </c>
    </row>
    <row r="42" customFormat="false" ht="15" hidden="false" customHeight="false" outlineLevel="0" collapsed="false">
      <c r="A42" s="10" t="s">
        <v>23</v>
      </c>
      <c r="B42" s="15"/>
      <c r="C42" s="16"/>
    </row>
    <row r="43" customFormat="false" ht="15" hidden="false" customHeight="false" outlineLevel="0" collapsed="false">
      <c r="A43" s="10" t="s">
        <v>24</v>
      </c>
      <c r="B43" s="15"/>
      <c r="C43" s="16"/>
    </row>
    <row r="44" customFormat="false" ht="15.75" hidden="false" customHeight="true" outlineLevel="0" collapsed="false">
      <c r="A44" s="23" t="s">
        <v>13</v>
      </c>
      <c r="B44" s="21" t="n">
        <f aca="false">B41+B38+B37</f>
        <v>0</v>
      </c>
      <c r="C44" s="22" t="n">
        <f aca="false">C41+C38+C37</f>
        <v>0</v>
      </c>
    </row>
    <row r="47" customFormat="false" ht="15.75" hidden="false" customHeight="true" outlineLevel="0" collapsed="false">
      <c r="A47" s="6" t="s">
        <v>26</v>
      </c>
    </row>
    <row r="48" customFormat="false" ht="15" hidden="false" customHeight="false" outlineLevel="0" collapsed="false">
      <c r="A48" s="7"/>
      <c r="B48" s="8" t="s">
        <v>6</v>
      </c>
      <c r="C48" s="9" t="s">
        <v>7</v>
      </c>
    </row>
    <row r="49" customFormat="false" ht="15.75" hidden="false" customHeight="true" outlineLevel="0" collapsed="false">
      <c r="A49" s="20" t="s">
        <v>27</v>
      </c>
      <c r="B49" s="21"/>
      <c r="C49" s="22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2" activeCellId="0" sqref="A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47.29"/>
    <col collapsed="false" customWidth="true" hidden="false" outlineLevel="0" max="3" min="2" style="0" width="17.71"/>
  </cols>
  <sheetData>
    <row r="1" customFormat="false" ht="42" hidden="false" customHeight="true" outlineLevel="0" collapsed="false">
      <c r="A1" s="1" t="s">
        <v>28</v>
      </c>
      <c r="B1" s="1"/>
      <c r="C1" s="1"/>
    </row>
    <row r="2" customFormat="false" ht="15" hidden="false" customHeight="false" outlineLevel="0" collapsed="false">
      <c r="A2" s="24" t="s">
        <v>29</v>
      </c>
      <c r="B2" s="24"/>
      <c r="C2" s="24"/>
    </row>
    <row r="3" customFormat="false" ht="15" hidden="false" customHeight="false" outlineLevel="0" collapsed="false">
      <c r="A3" s="25" t="s">
        <v>1</v>
      </c>
      <c r="B3" s="26"/>
      <c r="C3" s="27"/>
    </row>
    <row r="4" customFormat="false" ht="15.75" hidden="false" customHeight="true" outlineLevel="0" collapsed="false">
      <c r="A4" s="28" t="s">
        <v>30</v>
      </c>
      <c r="B4" s="29"/>
      <c r="C4" s="30"/>
    </row>
    <row r="5" customFormat="false" ht="15.75" hidden="false" customHeight="true" outlineLevel="0" collapsed="false">
      <c r="A5" s="31" t="s">
        <v>31</v>
      </c>
      <c r="B5" s="32" t="s">
        <v>32</v>
      </c>
      <c r="C5" s="32"/>
    </row>
    <row r="6" customFormat="false" ht="15.75" hidden="false" customHeight="true" outlineLevel="0" collapsed="false">
      <c r="A6" s="33"/>
      <c r="B6" s="34" t="s">
        <v>6</v>
      </c>
      <c r="C6" s="35" t="s">
        <v>33</v>
      </c>
    </row>
    <row r="7" customFormat="false" ht="15" hidden="false" customHeight="false" outlineLevel="0" collapsed="false">
      <c r="A7" s="36" t="s">
        <v>34</v>
      </c>
      <c r="B7" s="37" t="n">
        <f aca="false">B14+B32</f>
        <v>0</v>
      </c>
      <c r="C7" s="38" t="n">
        <f aca="false">C14+C32</f>
        <v>0</v>
      </c>
    </row>
    <row r="8" customFormat="false" ht="15" hidden="false" customHeight="false" outlineLevel="0" collapsed="false">
      <c r="A8" s="39" t="s">
        <v>35</v>
      </c>
      <c r="B8" s="40" t="n">
        <f aca="false">B21+B41</f>
        <v>0</v>
      </c>
      <c r="C8" s="41" t="n">
        <f aca="false">C21+C41</f>
        <v>0</v>
      </c>
    </row>
    <row r="9" customFormat="false" ht="15.75" hidden="false" customHeight="true" outlineLevel="0" collapsed="false">
      <c r="A9" s="42"/>
      <c r="B9" s="43"/>
      <c r="C9" s="44"/>
    </row>
    <row r="10" customFormat="false" ht="15.75" hidden="false" customHeight="true" outlineLevel="0" collapsed="false">
      <c r="A10" s="45" t="s">
        <v>36</v>
      </c>
      <c r="B10" s="46" t="n">
        <v>0</v>
      </c>
      <c r="C10" s="47" t="n">
        <v>0</v>
      </c>
    </row>
    <row r="11" customFormat="false" ht="15.75" hidden="false" customHeight="true" outlineLevel="0" collapsed="false">
      <c r="A11" s="42"/>
      <c r="C11" s="48"/>
    </row>
    <row r="12" customFormat="false" ht="15.75" hidden="false" customHeight="true" outlineLevel="0" collapsed="false">
      <c r="A12" s="49" t="s">
        <v>37</v>
      </c>
      <c r="B12" s="50"/>
      <c r="C12" s="50"/>
    </row>
    <row r="13" customFormat="false" ht="15.75" hidden="false" customHeight="true" outlineLevel="0" collapsed="false">
      <c r="A13" s="33"/>
      <c r="B13" s="51" t="s">
        <v>6</v>
      </c>
      <c r="C13" s="52" t="s">
        <v>33</v>
      </c>
    </row>
    <row r="14" customFormat="false" ht="15" hidden="false" customHeight="false" outlineLevel="0" collapsed="false">
      <c r="A14" s="36" t="s">
        <v>34</v>
      </c>
      <c r="B14" s="37" t="n">
        <f aca="false">SUM(B15:B20)</f>
        <v>0</v>
      </c>
      <c r="C14" s="37" t="n">
        <f aca="false">SUM(C15:C20)</f>
        <v>0</v>
      </c>
    </row>
    <row r="15" customFormat="false" ht="15" hidden="false" customHeight="false" outlineLevel="0" collapsed="false">
      <c r="A15" s="53" t="s">
        <v>38</v>
      </c>
      <c r="B15" s="54"/>
      <c r="C15" s="55"/>
    </row>
    <row r="16" customFormat="false" ht="15" hidden="false" customHeight="false" outlineLevel="0" collapsed="false">
      <c r="A16" s="53" t="s">
        <v>39</v>
      </c>
      <c r="B16" s="54"/>
      <c r="C16" s="55"/>
    </row>
    <row r="17" customFormat="false" ht="15" hidden="false" customHeight="false" outlineLevel="0" collapsed="false">
      <c r="A17" s="53" t="s">
        <v>40</v>
      </c>
      <c r="B17" s="54"/>
      <c r="C17" s="55"/>
    </row>
    <row r="18" customFormat="false" ht="15" hidden="false" customHeight="false" outlineLevel="0" collapsed="false">
      <c r="A18" s="53" t="s">
        <v>41</v>
      </c>
      <c r="B18" s="54"/>
      <c r="C18" s="55"/>
    </row>
    <row r="19" customFormat="false" ht="15" hidden="false" customHeight="false" outlineLevel="0" collapsed="false">
      <c r="A19" s="53" t="s">
        <v>42</v>
      </c>
      <c r="B19" s="54"/>
      <c r="C19" s="55"/>
    </row>
    <row r="20" customFormat="false" ht="15.75" hidden="false" customHeight="true" outlineLevel="0" collapsed="false">
      <c r="A20" s="56" t="s">
        <v>43</v>
      </c>
      <c r="B20" s="57"/>
      <c r="C20" s="58"/>
    </row>
    <row r="21" customFormat="false" ht="15.75" hidden="false" customHeight="true" outlineLevel="0" collapsed="false">
      <c r="A21" s="59" t="s">
        <v>35</v>
      </c>
      <c r="B21" s="60" t="n">
        <f aca="false">SUM(B22:B27)</f>
        <v>0</v>
      </c>
      <c r="C21" s="60" t="n">
        <f aca="false">SUM(C22:C27)</f>
        <v>0</v>
      </c>
    </row>
    <row r="22" customFormat="false" ht="15" hidden="false" customHeight="false" outlineLevel="0" collapsed="false">
      <c r="A22" s="61" t="s">
        <v>38</v>
      </c>
      <c r="B22" s="40"/>
      <c r="C22" s="62"/>
    </row>
    <row r="23" customFormat="false" ht="15" hidden="false" customHeight="false" outlineLevel="0" collapsed="false">
      <c r="A23" s="61" t="s">
        <v>39</v>
      </c>
      <c r="B23" s="40"/>
      <c r="C23" s="62"/>
    </row>
    <row r="24" customFormat="false" ht="15" hidden="false" customHeight="false" outlineLevel="0" collapsed="false">
      <c r="A24" s="61" t="s">
        <v>40</v>
      </c>
      <c r="B24" s="40"/>
      <c r="C24" s="62"/>
    </row>
    <row r="25" customFormat="false" ht="15" hidden="false" customHeight="false" outlineLevel="0" collapsed="false">
      <c r="A25" s="61" t="s">
        <v>41</v>
      </c>
      <c r="B25" s="40"/>
      <c r="C25" s="62"/>
    </row>
    <row r="26" customFormat="false" ht="15" hidden="false" customHeight="false" outlineLevel="0" collapsed="false">
      <c r="A26" s="61" t="s">
        <v>42</v>
      </c>
      <c r="B26" s="40"/>
      <c r="C26" s="62"/>
    </row>
    <row r="27" customFormat="false" ht="15.75" hidden="false" customHeight="true" outlineLevel="0" collapsed="false">
      <c r="A27" s="63" t="s">
        <v>43</v>
      </c>
      <c r="B27" s="64"/>
      <c r="C27" s="65"/>
    </row>
    <row r="28" customFormat="false" ht="16.5" hidden="false" customHeight="true" outlineLevel="0" collapsed="false">
      <c r="A28" s="66" t="s">
        <v>36</v>
      </c>
      <c r="B28" s="67" t="n">
        <v>0</v>
      </c>
      <c r="C28" s="68" t="n">
        <v>0</v>
      </c>
    </row>
    <row r="29" customFormat="false" ht="15.75" hidden="false" customHeight="true" outlineLevel="0" collapsed="false">
      <c r="A29" s="42"/>
      <c r="C29" s="48"/>
    </row>
    <row r="30" customFormat="false" ht="15.75" hidden="false" customHeight="true" outlineLevel="0" collapsed="false">
      <c r="A30" s="69" t="s">
        <v>44</v>
      </c>
      <c r="B30" s="70"/>
      <c r="C30" s="70"/>
    </row>
    <row r="31" customFormat="false" ht="15.75" hidden="false" customHeight="true" outlineLevel="0" collapsed="false">
      <c r="A31" s="71"/>
      <c r="B31" s="51" t="s">
        <v>6</v>
      </c>
      <c r="C31" s="52" t="s">
        <v>33</v>
      </c>
    </row>
    <row r="32" customFormat="false" ht="15.75" hidden="false" customHeight="true" outlineLevel="0" collapsed="false">
      <c r="A32" s="72" t="s">
        <v>34</v>
      </c>
      <c r="B32" s="73"/>
      <c r="C32" s="74"/>
    </row>
    <row r="33" customFormat="false" ht="15.75" hidden="false" customHeight="true" outlineLevel="0" collapsed="false">
      <c r="A33" s="75" t="s">
        <v>45</v>
      </c>
      <c r="B33" s="76"/>
      <c r="C33" s="55"/>
    </row>
    <row r="34" customFormat="false" ht="15" hidden="false" customHeight="false" outlineLevel="0" collapsed="false">
      <c r="A34" s="77" t="s">
        <v>46</v>
      </c>
      <c r="B34" s="78"/>
      <c r="C34" s="79"/>
    </row>
    <row r="35" customFormat="false" ht="15" hidden="false" customHeight="false" outlineLevel="0" collapsed="false">
      <c r="A35" s="77" t="s">
        <v>47</v>
      </c>
      <c r="B35" s="78"/>
      <c r="C35" s="79"/>
    </row>
    <row r="36" customFormat="false" ht="15" hidden="false" customHeight="false" outlineLevel="0" collapsed="false">
      <c r="A36" s="77" t="s">
        <v>48</v>
      </c>
      <c r="B36" s="78"/>
      <c r="C36" s="79"/>
    </row>
    <row r="37" customFormat="false" ht="15" hidden="false" customHeight="false" outlineLevel="0" collapsed="false">
      <c r="A37" s="77" t="s">
        <v>49</v>
      </c>
      <c r="B37" s="78"/>
      <c r="C37" s="79"/>
    </row>
    <row r="38" customFormat="false" ht="15" hidden="false" customHeight="false" outlineLevel="0" collapsed="false">
      <c r="A38" s="77" t="s">
        <v>50</v>
      </c>
      <c r="B38" s="78"/>
      <c r="C38" s="79"/>
    </row>
    <row r="39" customFormat="false" ht="15" hidden="false" customHeight="false" outlineLevel="0" collapsed="false">
      <c r="A39" s="77" t="s">
        <v>51</v>
      </c>
      <c r="B39" s="78"/>
      <c r="C39" s="79"/>
    </row>
    <row r="40" customFormat="false" ht="15" hidden="false" customHeight="false" outlineLevel="0" collapsed="false">
      <c r="A40" s="77" t="s">
        <v>52</v>
      </c>
      <c r="B40" s="78"/>
      <c r="C40" s="79"/>
    </row>
    <row r="41" customFormat="false" ht="15.75" hidden="false" customHeight="true" outlineLevel="0" collapsed="false">
      <c r="A41" s="80" t="s">
        <v>35</v>
      </c>
      <c r="B41" s="81"/>
      <c r="C41" s="65"/>
    </row>
    <row r="42" customFormat="false" ht="15.75" hidden="false" customHeight="true" outlineLevel="0" collapsed="false">
      <c r="A42" s="82" t="s">
        <v>45</v>
      </c>
      <c r="B42" s="83"/>
      <c r="C42" s="84"/>
    </row>
    <row r="43" customFormat="false" ht="15" hidden="false" customHeight="false" outlineLevel="0" collapsed="false">
      <c r="A43" s="85" t="s">
        <v>46</v>
      </c>
      <c r="B43" s="86"/>
      <c r="C43" s="62"/>
    </row>
    <row r="44" customFormat="false" ht="15" hidden="false" customHeight="false" outlineLevel="0" collapsed="false">
      <c r="A44" s="85" t="s">
        <v>47</v>
      </c>
      <c r="B44" s="86"/>
      <c r="C44" s="62"/>
    </row>
    <row r="45" customFormat="false" ht="15" hidden="false" customHeight="false" outlineLevel="0" collapsed="false">
      <c r="A45" s="85" t="s">
        <v>53</v>
      </c>
      <c r="B45" s="86"/>
      <c r="C45" s="62"/>
    </row>
    <row r="46" customFormat="false" ht="15" hidden="false" customHeight="false" outlineLevel="0" collapsed="false">
      <c r="A46" s="85" t="s">
        <v>49</v>
      </c>
      <c r="B46" s="86"/>
      <c r="C46" s="62"/>
    </row>
    <row r="47" customFormat="false" ht="15" hidden="false" customHeight="false" outlineLevel="0" collapsed="false">
      <c r="A47" s="85" t="s">
        <v>50</v>
      </c>
      <c r="B47" s="86"/>
      <c r="C47" s="62"/>
    </row>
    <row r="48" customFormat="false" ht="15" hidden="false" customHeight="false" outlineLevel="0" collapsed="false">
      <c r="A48" s="85" t="s">
        <v>51</v>
      </c>
      <c r="B48" s="86"/>
      <c r="C48" s="62"/>
    </row>
    <row r="49" customFormat="false" ht="15.75" hidden="false" customHeight="true" outlineLevel="0" collapsed="false">
      <c r="A49" s="87" t="s">
        <v>52</v>
      </c>
      <c r="B49" s="81"/>
      <c r="C49" s="65"/>
    </row>
    <row r="50" customFormat="false" ht="16.5" hidden="false" customHeight="true" outlineLevel="0" collapsed="false">
      <c r="A50" s="88" t="s">
        <v>36</v>
      </c>
      <c r="B50" s="89" t="n">
        <v>0</v>
      </c>
      <c r="C50" s="68" t="n">
        <v>0</v>
      </c>
    </row>
  </sheetData>
  <mergeCells count="5">
    <mergeCell ref="A1:C1"/>
    <mergeCell ref="A2:C2"/>
    <mergeCell ref="B5:C5"/>
    <mergeCell ref="B12:C12"/>
    <mergeCell ref="B30:C30"/>
  </mergeCells>
  <printOptions headings="false" gridLines="false" gridLinesSet="true" horizontalCentered="false" verticalCentered="false"/>
  <pageMargins left="0.708333333333333" right="0.708333333333333" top="0.196527777777778" bottom="0.197222222222222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6.57"/>
    <col collapsed="false" customWidth="true" hidden="false" outlineLevel="0" max="3" min="3" style="0" width="15.29"/>
    <col collapsed="false" customWidth="true" hidden="false" outlineLevel="0" max="13" min="4" style="0" width="16.57"/>
  </cols>
  <sheetData>
    <row r="1" customFormat="false" ht="18.75" hidden="false" customHeight="true" outlineLevel="0" collapsed="false">
      <c r="A1" s="90" t="s">
        <v>54</v>
      </c>
      <c r="B1" s="90"/>
      <c r="C1" s="90"/>
      <c r="D1" s="90"/>
      <c r="E1" s="90"/>
    </row>
    <row r="2" customFormat="false" ht="19.5" hidden="false" customHeight="true" outlineLevel="0" collapsed="false">
      <c r="A2" s="28" t="s">
        <v>1</v>
      </c>
      <c r="B2" s="91"/>
      <c r="C2" s="91"/>
      <c r="D2" s="91"/>
      <c r="E2" s="91"/>
    </row>
    <row r="3" customFormat="false" ht="18.75" hidden="false" customHeight="true" outlineLevel="0" collapsed="false">
      <c r="A3" s="25" t="s">
        <v>55</v>
      </c>
      <c r="B3" s="91"/>
      <c r="C3" s="91"/>
      <c r="D3" s="91"/>
      <c r="E3" s="91"/>
    </row>
    <row r="4" customFormat="false" ht="19.5" hidden="false" customHeight="true" outlineLevel="0" collapsed="false">
      <c r="A4" s="92" t="s">
        <v>56</v>
      </c>
      <c r="B4" s="93" t="n">
        <v>45658</v>
      </c>
      <c r="C4" s="93" t="n">
        <v>45689</v>
      </c>
      <c r="D4" s="93" t="n">
        <v>45717</v>
      </c>
      <c r="E4" s="93" t="n">
        <v>45748</v>
      </c>
      <c r="F4" s="93" t="n">
        <v>45778</v>
      </c>
      <c r="G4" s="93" t="n">
        <v>45809</v>
      </c>
      <c r="H4" s="93" t="n">
        <v>45839</v>
      </c>
      <c r="I4" s="93" t="n">
        <v>45870</v>
      </c>
      <c r="J4" s="93" t="n">
        <v>45901</v>
      </c>
      <c r="K4" s="93" t="n">
        <v>45931</v>
      </c>
      <c r="L4" s="93" t="n">
        <v>45962</v>
      </c>
      <c r="M4" s="93" t="n">
        <v>45992</v>
      </c>
      <c r="N4" s="93" t="n">
        <v>46023</v>
      </c>
      <c r="O4" s="93" t="n">
        <v>46054</v>
      </c>
      <c r="P4" s="93" t="n">
        <v>46082</v>
      </c>
      <c r="Q4" s="93" t="n">
        <v>46113</v>
      </c>
      <c r="R4" s="93" t="n">
        <v>46143</v>
      </c>
      <c r="S4" s="93" t="n">
        <v>46174</v>
      </c>
    </row>
    <row r="5" customFormat="false" ht="17.25" hidden="false" customHeight="true" outlineLevel="0" collapsed="false">
      <c r="A5" s="94" t="s">
        <v>57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6"/>
      <c r="N5" s="95"/>
      <c r="O5" s="95"/>
      <c r="P5" s="95"/>
      <c r="Q5" s="95"/>
      <c r="R5" s="95"/>
      <c r="S5" s="95"/>
    </row>
    <row r="6" customFormat="false" ht="33" hidden="false" customHeight="true" outlineLevel="0" collapsed="false">
      <c r="A6" s="97" t="s">
        <v>58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6"/>
      <c r="N6" s="95"/>
      <c r="O6" s="95"/>
      <c r="P6" s="95"/>
      <c r="Q6" s="95"/>
      <c r="R6" s="95"/>
      <c r="S6" s="95"/>
    </row>
    <row r="7" customFormat="false" ht="17.25" hidden="false" customHeight="true" outlineLevel="0" collapsed="false">
      <c r="A7" s="94" t="s">
        <v>59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6"/>
      <c r="N7" s="95"/>
      <c r="O7" s="95"/>
      <c r="P7" s="95"/>
      <c r="Q7" s="95"/>
      <c r="R7" s="95"/>
      <c r="S7" s="95"/>
    </row>
    <row r="8" customFormat="false" ht="17.25" hidden="false" customHeight="true" outlineLevel="0" collapsed="false">
      <c r="A8" s="94" t="s">
        <v>60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6"/>
      <c r="N8" s="95"/>
      <c r="O8" s="95"/>
      <c r="P8" s="95"/>
      <c r="Q8" s="95"/>
      <c r="R8" s="95"/>
      <c r="S8" s="95"/>
    </row>
    <row r="9" customFormat="false" ht="17.25" hidden="false" customHeight="true" outlineLevel="0" collapsed="false">
      <c r="A9" s="94" t="s">
        <v>61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6"/>
      <c r="N9" s="95"/>
      <c r="O9" s="95"/>
      <c r="P9" s="95"/>
      <c r="Q9" s="95"/>
      <c r="R9" s="95"/>
      <c r="S9" s="95"/>
    </row>
    <row r="10" customFormat="false" ht="17.25" hidden="false" customHeight="true" outlineLevel="0" collapsed="false">
      <c r="A10" s="94" t="s">
        <v>62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6"/>
      <c r="N10" s="95"/>
      <c r="O10" s="95"/>
      <c r="P10" s="95"/>
      <c r="Q10" s="95"/>
      <c r="R10" s="95"/>
      <c r="S10" s="95"/>
    </row>
    <row r="11" customFormat="false" ht="17.25" hidden="false" customHeight="true" outlineLevel="0" collapsed="false">
      <c r="A11" s="94" t="s">
        <v>63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6"/>
      <c r="N11" s="95"/>
      <c r="O11" s="95"/>
      <c r="P11" s="95"/>
      <c r="Q11" s="95"/>
      <c r="R11" s="95"/>
      <c r="S11" s="95"/>
    </row>
    <row r="12" customFormat="false" ht="17.25" hidden="false" customHeight="true" outlineLevel="0" collapsed="false">
      <c r="A12" s="94" t="s">
        <v>64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6"/>
      <c r="N12" s="95"/>
      <c r="O12" s="95"/>
      <c r="P12" s="95"/>
      <c r="Q12" s="95"/>
      <c r="R12" s="95"/>
      <c r="S12" s="95"/>
    </row>
    <row r="13" customFormat="false" ht="17.25" hidden="false" customHeight="true" outlineLevel="0" collapsed="false">
      <c r="A13" s="94" t="s">
        <v>65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6"/>
      <c r="N13" s="95"/>
      <c r="O13" s="95"/>
      <c r="P13" s="95"/>
      <c r="Q13" s="95"/>
      <c r="R13" s="95"/>
      <c r="S13" s="95"/>
    </row>
    <row r="14" customFormat="false" ht="17.25" hidden="false" customHeight="true" outlineLevel="0" collapsed="false">
      <c r="A14" s="94" t="s">
        <v>66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6"/>
      <c r="N14" s="95"/>
      <c r="O14" s="95"/>
      <c r="P14" s="95"/>
      <c r="Q14" s="95"/>
      <c r="R14" s="95"/>
      <c r="S14" s="95"/>
    </row>
    <row r="15" customFormat="false" ht="17.25" hidden="false" customHeight="true" outlineLevel="0" collapsed="false">
      <c r="A15" s="94" t="s">
        <v>67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6"/>
      <c r="N15" s="95"/>
      <c r="O15" s="95"/>
      <c r="P15" s="95"/>
      <c r="Q15" s="95"/>
      <c r="R15" s="95"/>
      <c r="S15" s="95"/>
    </row>
    <row r="16" customFormat="false" ht="17.25" hidden="false" customHeight="true" outlineLevel="0" collapsed="false">
      <c r="A16" s="94" t="s">
        <v>68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6"/>
      <c r="N16" s="95"/>
      <c r="O16" s="95"/>
      <c r="P16" s="95"/>
      <c r="Q16" s="95"/>
      <c r="R16" s="95"/>
      <c r="S16" s="95"/>
    </row>
    <row r="17" customFormat="false" ht="17.25" hidden="false" customHeight="true" outlineLevel="0" collapsed="false">
      <c r="A17" s="94" t="s">
        <v>69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6"/>
      <c r="N17" s="95"/>
      <c r="O17" s="95"/>
      <c r="P17" s="95"/>
      <c r="Q17" s="95"/>
      <c r="R17" s="95"/>
      <c r="S17" s="95"/>
    </row>
    <row r="18" customFormat="false" ht="17.25" hidden="false" customHeight="true" outlineLevel="0" collapsed="false">
      <c r="A18" s="94" t="s">
        <v>70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6"/>
      <c r="N18" s="95"/>
      <c r="O18" s="95"/>
      <c r="P18" s="95"/>
      <c r="Q18" s="95"/>
      <c r="R18" s="95"/>
      <c r="S18" s="95"/>
    </row>
    <row r="19" customFormat="false" ht="17.25" hidden="false" customHeight="true" outlineLevel="0" collapsed="false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6"/>
      <c r="N19" s="95"/>
      <c r="O19" s="95"/>
      <c r="P19" s="95"/>
      <c r="Q19" s="95"/>
      <c r="R19" s="95"/>
      <c r="S19" s="95"/>
    </row>
    <row r="20" customFormat="false" ht="17.25" hidden="false" customHeight="true" outlineLevel="0" collapsed="false">
      <c r="A20" s="94" t="s">
        <v>71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6"/>
      <c r="N20" s="95"/>
      <c r="O20" s="95"/>
      <c r="P20" s="95"/>
      <c r="Q20" s="95"/>
      <c r="R20" s="95"/>
      <c r="S20" s="95"/>
    </row>
    <row r="21" customFormat="false" ht="17.25" hidden="false" customHeight="true" outlineLevel="0" collapsed="false">
      <c r="A21" s="94" t="s">
        <v>72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6"/>
      <c r="N21" s="95"/>
      <c r="O21" s="95"/>
      <c r="P21" s="95"/>
      <c r="Q21" s="95"/>
      <c r="R21" s="95"/>
      <c r="S21" s="95"/>
    </row>
    <row r="22" customFormat="false" ht="33" hidden="false" customHeight="true" outlineLevel="0" collapsed="false">
      <c r="A22" s="94" t="s">
        <v>73</v>
      </c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</row>
    <row r="23" customFormat="false" ht="17.25" hidden="false" customHeight="true" outlineLevel="0" collapsed="false">
      <c r="A23" s="94" t="s">
        <v>74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6"/>
      <c r="N23" s="95"/>
      <c r="O23" s="95"/>
      <c r="P23" s="95"/>
      <c r="Q23" s="95"/>
      <c r="R23" s="95"/>
      <c r="S23" s="95"/>
    </row>
    <row r="24" customFormat="false" ht="17.25" hidden="false" customHeight="true" outlineLevel="0" collapsed="false">
      <c r="A24" s="94" t="s">
        <v>75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95"/>
      <c r="O24" s="95"/>
      <c r="P24" s="95"/>
      <c r="Q24" s="95"/>
      <c r="R24" s="95"/>
      <c r="S24" s="95"/>
    </row>
    <row r="25" customFormat="false" ht="17.25" hidden="false" customHeight="true" outlineLevel="0" collapsed="false">
      <c r="A25" s="94" t="s">
        <v>76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95"/>
      <c r="O25" s="95"/>
      <c r="P25" s="95"/>
      <c r="Q25" s="95"/>
      <c r="R25" s="95"/>
      <c r="S25" s="95"/>
    </row>
    <row r="26" customFormat="false" ht="17.25" hidden="false" customHeight="true" outlineLevel="0" collapsed="false">
      <c r="A26" s="94" t="s">
        <v>77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95"/>
      <c r="O26" s="95"/>
      <c r="P26" s="95"/>
      <c r="Q26" s="95"/>
      <c r="R26" s="95"/>
      <c r="S26" s="95"/>
    </row>
    <row r="27" customFormat="false" ht="17.25" hidden="false" customHeight="true" outlineLevel="0" collapsed="false">
      <c r="A27" s="94" t="s">
        <v>78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95"/>
      <c r="O27" s="95"/>
      <c r="P27" s="95"/>
      <c r="Q27" s="95"/>
      <c r="R27" s="95"/>
      <c r="S27" s="95"/>
    </row>
    <row r="28" customFormat="false" ht="17.25" hidden="false" customHeight="true" outlineLevel="0" collapsed="false">
      <c r="A28" s="94" t="s">
        <v>79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6"/>
      <c r="N28" s="95"/>
      <c r="O28" s="95"/>
      <c r="P28" s="95"/>
      <c r="Q28" s="95"/>
      <c r="R28" s="95"/>
      <c r="S28" s="95"/>
    </row>
    <row r="29" customFormat="false" ht="33" hidden="false" customHeight="true" outlineLevel="0" collapsed="false">
      <c r="A29" s="94" t="s">
        <v>80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95"/>
      <c r="O29" s="95"/>
      <c r="P29" s="95"/>
      <c r="Q29" s="95"/>
      <c r="R29" s="95"/>
      <c r="S29" s="95"/>
    </row>
    <row r="30" customFormat="false" ht="17.25" hidden="false" customHeight="true" outlineLevel="0" collapsed="false">
      <c r="A30" s="94" t="s">
        <v>81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95"/>
      <c r="O30" s="95"/>
      <c r="P30" s="95"/>
      <c r="Q30" s="95"/>
      <c r="R30" s="95"/>
      <c r="S30" s="95"/>
    </row>
    <row r="31" customFormat="false" ht="17.25" hidden="false" customHeight="true" outlineLevel="0" collapsed="false">
      <c r="A31" s="94" t="s">
        <v>82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95"/>
      <c r="O31" s="95"/>
      <c r="P31" s="95"/>
      <c r="Q31" s="95"/>
      <c r="R31" s="95"/>
      <c r="S31" s="95"/>
    </row>
    <row r="32" customFormat="false" ht="17.25" hidden="false" customHeight="true" outlineLevel="0" collapsed="false">
      <c r="A32" s="94" t="s">
        <v>83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6"/>
      <c r="N32" s="95"/>
      <c r="O32" s="95"/>
      <c r="P32" s="95"/>
      <c r="Q32" s="95"/>
      <c r="R32" s="95"/>
      <c r="S32" s="95"/>
    </row>
    <row r="33" customFormat="false" ht="17.25" hidden="false" customHeight="true" outlineLevel="0" collapsed="false">
      <c r="A33" s="94" t="s">
        <v>84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95"/>
      <c r="O33" s="95"/>
      <c r="P33" s="95"/>
      <c r="Q33" s="95"/>
      <c r="R33" s="95"/>
      <c r="S33" s="95"/>
    </row>
    <row r="34" customFormat="false" ht="17.25" hidden="false" customHeight="true" outlineLevel="0" collapsed="false">
      <c r="A34" s="94" t="s">
        <v>85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95"/>
      <c r="O34" s="95"/>
      <c r="P34" s="95"/>
      <c r="Q34" s="95"/>
      <c r="R34" s="95"/>
      <c r="S34" s="95"/>
    </row>
    <row r="35" customFormat="false" ht="17.25" hidden="false" customHeight="true" outlineLevel="0" collapsed="false">
      <c r="A35" s="98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6"/>
      <c r="N35" s="95"/>
      <c r="O35" s="95"/>
      <c r="P35" s="95"/>
      <c r="Q35" s="95"/>
      <c r="R35" s="95"/>
      <c r="S35" s="95"/>
    </row>
    <row r="36" customFormat="false" ht="17.25" hidden="false" customHeight="true" outlineLevel="0" collapsed="false">
      <c r="A36" s="99" t="s">
        <v>86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95"/>
      <c r="O36" s="95"/>
      <c r="P36" s="95"/>
      <c r="Q36" s="95"/>
      <c r="R36" s="95"/>
      <c r="S36" s="95"/>
    </row>
    <row r="37" customFormat="false" ht="17.25" hidden="false" customHeight="true" outlineLevel="0" collapsed="false">
      <c r="A37" s="99" t="s">
        <v>87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6"/>
      <c r="N37" s="95"/>
      <c r="O37" s="95"/>
      <c r="P37" s="95"/>
      <c r="Q37" s="95"/>
      <c r="R37" s="95"/>
      <c r="S37" s="95"/>
    </row>
    <row r="38" customFormat="false" ht="17.25" hidden="false" customHeight="true" outlineLevel="0" collapsed="false">
      <c r="A38" s="99" t="s">
        <v>88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6"/>
      <c r="N38" s="95"/>
      <c r="O38" s="95"/>
      <c r="P38" s="95"/>
      <c r="Q38" s="95"/>
      <c r="R38" s="95"/>
      <c r="S38" s="95"/>
    </row>
    <row r="39" customFormat="false" ht="17.25" hidden="false" customHeight="true" outlineLevel="0" collapsed="false">
      <c r="A39" s="99" t="s">
        <v>89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6"/>
      <c r="N39" s="95"/>
      <c r="O39" s="95"/>
      <c r="P39" s="95"/>
      <c r="Q39" s="95"/>
      <c r="R39" s="95"/>
      <c r="S39" s="95"/>
    </row>
    <row r="40" customFormat="false" ht="17.25" hidden="false" customHeight="true" outlineLevel="0" collapsed="false">
      <c r="A40" s="99" t="s">
        <v>90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6"/>
      <c r="N40" s="95"/>
      <c r="O40" s="95"/>
      <c r="P40" s="95"/>
      <c r="Q40" s="95"/>
      <c r="R40" s="95"/>
      <c r="S40" s="95"/>
    </row>
    <row r="41" customFormat="false" ht="17.25" hidden="false" customHeight="true" outlineLevel="0" collapsed="false">
      <c r="A41" s="99" t="s">
        <v>91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95"/>
      <c r="O41" s="95"/>
      <c r="P41" s="95"/>
      <c r="Q41" s="95"/>
      <c r="R41" s="95"/>
      <c r="S41" s="95"/>
    </row>
    <row r="42" customFormat="false" ht="17.25" hidden="false" customHeight="true" outlineLevel="0" collapsed="false">
      <c r="A42" s="99" t="s">
        <v>92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6"/>
      <c r="N42" s="95"/>
      <c r="O42" s="95"/>
      <c r="P42" s="95"/>
      <c r="Q42" s="95"/>
      <c r="R42" s="95"/>
      <c r="S42" s="95"/>
    </row>
    <row r="43" customFormat="false" ht="17.25" hidden="false" customHeight="true" outlineLevel="0" collapsed="false">
      <c r="A43" s="99" t="s">
        <v>93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6"/>
      <c r="N43" s="95"/>
      <c r="O43" s="95"/>
      <c r="P43" s="95"/>
      <c r="Q43" s="95"/>
      <c r="R43" s="95"/>
      <c r="S43" s="95"/>
    </row>
    <row r="44" customFormat="false" ht="17.25" hidden="false" customHeight="true" outlineLevel="0" collapsed="false">
      <c r="A44" s="99" t="s">
        <v>94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6"/>
      <c r="N44" s="95"/>
      <c r="O44" s="95"/>
      <c r="P44" s="95"/>
      <c r="Q44" s="95"/>
      <c r="R44" s="95"/>
      <c r="S44" s="95"/>
    </row>
    <row r="45" customFormat="false" ht="17.25" hidden="false" customHeight="true" outlineLevel="0" collapsed="false">
      <c r="A45" s="99" t="s">
        <v>95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6"/>
      <c r="N45" s="95"/>
      <c r="O45" s="95"/>
      <c r="P45" s="95"/>
      <c r="Q45" s="95"/>
      <c r="R45" s="95"/>
      <c r="S45" s="95"/>
    </row>
    <row r="46" customFormat="false" ht="17.25" hidden="false" customHeight="true" outlineLevel="0" collapsed="false">
      <c r="A46" s="99" t="s">
        <v>96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6"/>
      <c r="N46" s="95"/>
      <c r="O46" s="95"/>
      <c r="P46" s="95"/>
      <c r="Q46" s="95"/>
      <c r="R46" s="95"/>
      <c r="S46" s="95"/>
    </row>
    <row r="47" customFormat="false" ht="17.25" hidden="false" customHeight="true" outlineLevel="0" collapsed="false">
      <c r="A47" s="100" t="s">
        <v>97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6"/>
      <c r="N47" s="95"/>
      <c r="O47" s="95"/>
      <c r="P47" s="95"/>
      <c r="Q47" s="95"/>
      <c r="R47" s="95"/>
      <c r="S47" s="95"/>
    </row>
    <row r="48" customFormat="false" ht="15.75" hidden="false" customHeight="true" outlineLevel="0" collapsed="false">
      <c r="A48" s="101" t="s">
        <v>98</v>
      </c>
    </row>
    <row r="49" customFormat="false" ht="15.75" hidden="false" customHeight="true" outlineLevel="0" collapsed="false">
      <c r="A49" s="101" t="s">
        <v>99</v>
      </c>
    </row>
    <row r="50" customFormat="false" ht="15.75" hidden="false" customHeight="true" outlineLevel="0" collapsed="false">
      <c r="A50" s="101" t="s">
        <v>100</v>
      </c>
    </row>
    <row r="51" customFormat="false" ht="15.75" hidden="false" customHeight="true" outlineLevel="0" collapsed="false">
      <c r="A51" s="101" t="s">
        <v>101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Z1" activePane="topRight" state="frozen"/>
      <selection pane="topLeft" activeCell="A1" activeCellId="0" sqref="A1"/>
      <selection pane="topRight" activeCell="AE19" activeCellId="0" sqref="AE1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84.57"/>
    <col collapsed="false" customWidth="true" hidden="false" outlineLevel="0" max="2" min="2" style="0" width="8.29"/>
    <col collapsed="false" customWidth="true" hidden="false" outlineLevel="0" max="3" min="3" style="0" width="6.71"/>
    <col collapsed="false" customWidth="true" hidden="false" outlineLevel="0" max="4" min="4" style="0" width="8.29"/>
    <col collapsed="false" customWidth="true" hidden="false" outlineLevel="0" max="5" min="5" style="0" width="6.71"/>
    <col collapsed="false" customWidth="true" hidden="false" outlineLevel="0" max="6" min="6" style="0" width="8.29"/>
    <col collapsed="false" customWidth="true" hidden="false" outlineLevel="0" max="7" min="7" style="0" width="6.71"/>
    <col collapsed="false" customWidth="true" hidden="false" outlineLevel="0" max="8" min="8" style="0" width="8.29"/>
    <col collapsed="false" customWidth="true" hidden="false" outlineLevel="0" max="9" min="9" style="0" width="6.71"/>
    <col collapsed="false" customWidth="true" hidden="false" outlineLevel="0" max="10" min="10" style="0" width="8.29"/>
    <col collapsed="false" customWidth="true" hidden="false" outlineLevel="0" max="11" min="11" style="0" width="6.71"/>
    <col collapsed="false" customWidth="true" hidden="false" outlineLevel="0" max="12" min="12" style="0" width="8.29"/>
    <col collapsed="false" customWidth="true" hidden="false" outlineLevel="0" max="13" min="13" style="0" width="6.71"/>
    <col collapsed="false" customWidth="true" hidden="false" outlineLevel="0" max="14" min="14" style="0" width="8.29"/>
    <col collapsed="false" customWidth="true" hidden="false" outlineLevel="0" max="15" min="15" style="0" width="6.71"/>
    <col collapsed="false" customWidth="true" hidden="false" outlineLevel="0" max="16" min="16" style="0" width="8.29"/>
    <col collapsed="false" customWidth="true" hidden="false" outlineLevel="0" max="17" min="17" style="0" width="6.71"/>
    <col collapsed="false" customWidth="true" hidden="false" outlineLevel="0" max="18" min="18" style="0" width="8.29"/>
    <col collapsed="false" customWidth="true" hidden="false" outlineLevel="0" max="19" min="19" style="0" width="6.71"/>
    <col collapsed="false" customWidth="true" hidden="false" outlineLevel="0" max="20" min="20" style="102" width="8.29"/>
    <col collapsed="false" customWidth="true" hidden="false" outlineLevel="0" max="21" min="21" style="0" width="6.71"/>
    <col collapsed="false" customWidth="true" hidden="false" outlineLevel="0" max="22" min="22" style="0" width="8.29"/>
    <col collapsed="false" customWidth="true" hidden="false" outlineLevel="0" max="23" min="23" style="0" width="6.71"/>
    <col collapsed="false" customWidth="true" hidden="false" outlineLevel="0" max="24" min="24" style="0" width="8.29"/>
    <col collapsed="false" customWidth="true" hidden="false" outlineLevel="0" max="25" min="25" style="0" width="6.71"/>
    <col collapsed="false" customWidth="true" hidden="false" outlineLevel="0" max="26" min="26" style="0" width="2"/>
    <col collapsed="false" customWidth="true" hidden="false" outlineLevel="0" max="27" min="27" style="0" width="8.29"/>
    <col collapsed="false" customWidth="true" hidden="false" outlineLevel="0" max="28" min="28" style="0" width="6.71"/>
  </cols>
  <sheetData>
    <row r="1" customFormat="false" ht="18.75" hidden="false" customHeight="true" outlineLevel="0" collapsed="false">
      <c r="A1" s="90" t="s">
        <v>102</v>
      </c>
      <c r="B1" s="90"/>
      <c r="C1" s="90"/>
      <c r="D1" s="90"/>
      <c r="E1" s="90"/>
    </row>
    <row r="2" customFormat="false" ht="19.5" hidden="false" customHeight="true" outlineLevel="0" collapsed="false">
      <c r="A2" s="28" t="s">
        <v>1</v>
      </c>
      <c r="B2" s="91"/>
      <c r="C2" s="91"/>
      <c r="D2" s="91"/>
      <c r="E2" s="91"/>
    </row>
    <row r="3" customFormat="false" ht="18.75" hidden="false" customHeight="true" outlineLevel="0" collapsed="false">
      <c r="A3" s="28" t="s">
        <v>55</v>
      </c>
      <c r="B3" s="91"/>
      <c r="C3" s="91"/>
      <c r="D3" s="91"/>
      <c r="E3" s="91"/>
    </row>
    <row r="4" customFormat="false" ht="15.75" hidden="false" customHeight="true" outlineLevel="0" collapsed="false">
      <c r="A4" s="7"/>
      <c r="B4" s="103" t="n">
        <v>45658</v>
      </c>
      <c r="C4" s="103"/>
      <c r="D4" s="103" t="n">
        <v>45689</v>
      </c>
      <c r="E4" s="103"/>
      <c r="F4" s="103" t="n">
        <v>45717</v>
      </c>
      <c r="G4" s="103"/>
      <c r="H4" s="103" t="n">
        <v>45748</v>
      </c>
      <c r="I4" s="103"/>
      <c r="J4" s="103" t="n">
        <v>45778</v>
      </c>
      <c r="K4" s="103"/>
      <c r="L4" s="103" t="n">
        <v>45809</v>
      </c>
      <c r="M4" s="103"/>
      <c r="N4" s="103" t="n">
        <v>45839</v>
      </c>
      <c r="O4" s="103"/>
      <c r="P4" s="103" t="n">
        <v>45870</v>
      </c>
      <c r="Q4" s="103"/>
      <c r="R4" s="103" t="n">
        <v>45901</v>
      </c>
      <c r="S4" s="103"/>
      <c r="T4" s="103" t="n">
        <v>45931</v>
      </c>
      <c r="U4" s="103"/>
      <c r="V4" s="103" t="n">
        <v>45962</v>
      </c>
      <c r="W4" s="103"/>
      <c r="X4" s="103" t="n">
        <v>45992</v>
      </c>
      <c r="Y4" s="103"/>
      <c r="Z4" s="104"/>
      <c r="AA4" s="105" t="s">
        <v>103</v>
      </c>
      <c r="AB4" s="105"/>
      <c r="AD4" s="103" t="n">
        <v>46023</v>
      </c>
      <c r="AE4" s="103"/>
      <c r="AF4" s="103" t="n">
        <v>46054</v>
      </c>
      <c r="AG4" s="103"/>
      <c r="AH4" s="103" t="n">
        <v>46082</v>
      </c>
      <c r="AI4" s="103"/>
      <c r="AJ4" s="103" t="n">
        <v>46113</v>
      </c>
      <c r="AK4" s="103"/>
      <c r="AL4" s="103" t="n">
        <v>46143</v>
      </c>
      <c r="AM4" s="103"/>
      <c r="AN4" s="105" t="n">
        <v>46174</v>
      </c>
      <c r="AO4" s="105"/>
    </row>
    <row r="5" customFormat="false" ht="19.5" hidden="false" customHeight="true" outlineLevel="0" collapsed="false">
      <c r="A5" s="106" t="s">
        <v>56</v>
      </c>
      <c r="B5" s="107" t="s">
        <v>104</v>
      </c>
      <c r="C5" s="108" t="s">
        <v>105</v>
      </c>
      <c r="D5" s="107" t="s">
        <v>104</v>
      </c>
      <c r="E5" s="108" t="s">
        <v>105</v>
      </c>
      <c r="F5" s="107" t="s">
        <v>104</v>
      </c>
      <c r="G5" s="108" t="s">
        <v>105</v>
      </c>
      <c r="H5" s="107" t="s">
        <v>104</v>
      </c>
      <c r="I5" s="108" t="s">
        <v>105</v>
      </c>
      <c r="J5" s="107" t="s">
        <v>104</v>
      </c>
      <c r="K5" s="109" t="s">
        <v>105</v>
      </c>
      <c r="L5" s="107" t="s">
        <v>104</v>
      </c>
      <c r="M5" s="109" t="s">
        <v>105</v>
      </c>
      <c r="N5" s="107" t="s">
        <v>104</v>
      </c>
      <c r="O5" s="109" t="s">
        <v>105</v>
      </c>
      <c r="P5" s="107" t="s">
        <v>104</v>
      </c>
      <c r="Q5" s="109" t="s">
        <v>105</v>
      </c>
      <c r="R5" s="107" t="s">
        <v>104</v>
      </c>
      <c r="S5" s="109" t="s">
        <v>105</v>
      </c>
      <c r="T5" s="107" t="s">
        <v>104</v>
      </c>
      <c r="U5" s="109" t="s">
        <v>105</v>
      </c>
      <c r="V5" s="107" t="s">
        <v>104</v>
      </c>
      <c r="W5" s="109" t="s">
        <v>105</v>
      </c>
      <c r="X5" s="107" t="s">
        <v>104</v>
      </c>
      <c r="Y5" s="109" t="s">
        <v>105</v>
      </c>
      <c r="Z5" s="110"/>
      <c r="AA5" s="107" t="s">
        <v>104</v>
      </c>
      <c r="AB5" s="109" t="s">
        <v>105</v>
      </c>
      <c r="AD5" s="107" t="s">
        <v>104</v>
      </c>
      <c r="AE5" s="108" t="s">
        <v>105</v>
      </c>
      <c r="AF5" s="107" t="s">
        <v>104</v>
      </c>
      <c r="AG5" s="108" t="s">
        <v>105</v>
      </c>
      <c r="AH5" s="107" t="s">
        <v>104</v>
      </c>
      <c r="AI5" s="108" t="s">
        <v>105</v>
      </c>
      <c r="AJ5" s="107" t="s">
        <v>104</v>
      </c>
      <c r="AK5" s="108" t="s">
        <v>105</v>
      </c>
      <c r="AL5" s="107" t="s">
        <v>104</v>
      </c>
      <c r="AM5" s="109" t="s">
        <v>105</v>
      </c>
      <c r="AN5" s="107" t="s">
        <v>104</v>
      </c>
      <c r="AO5" s="109" t="s">
        <v>105</v>
      </c>
    </row>
    <row r="6" customFormat="false" ht="16.5" hidden="false" customHeight="true" outlineLevel="0" collapsed="false">
      <c r="A6" s="111" t="s">
        <v>106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 t="n">
        <f aca="false">X6+V6+T6+R6+P6+N6+L6+J6+H6+F6+D6+B6</f>
        <v>0</v>
      </c>
      <c r="AB6" s="112" t="n">
        <f aca="false">Y6+W6+U6+S6+Q6+O6+M6+K6+I6+G6+E6+C6</f>
        <v>0</v>
      </c>
      <c r="AD6" s="113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</row>
    <row r="7" customFormat="false" ht="16.5" hidden="false" customHeight="true" outlineLevel="0" collapsed="false">
      <c r="A7" s="111" t="s">
        <v>107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 t="n">
        <f aca="false">X7+V7+T7+R7+P7+N7+L7+J7+H7+F7+D7+B7</f>
        <v>0</v>
      </c>
      <c r="AB7" s="112" t="n">
        <f aca="false">Y7+W7+U7+S7+Q7+O7+M7+K7+I7+G7+E7+C7</f>
        <v>0</v>
      </c>
      <c r="AD7" s="113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</row>
    <row r="8" customFormat="false" ht="16.5" hidden="false" customHeight="true" outlineLevel="0" collapsed="false">
      <c r="A8" s="111" t="s">
        <v>108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 t="n">
        <f aca="false">X8+V8+T8+R8+P8+N8+L8+J8+H8+F8+D8+B8</f>
        <v>0</v>
      </c>
      <c r="AB8" s="112" t="n">
        <f aca="false">Y8+W8+U8+S8+Q8+O8+M8+K8+I8+G8+E8+C8</f>
        <v>0</v>
      </c>
      <c r="AD8" s="113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</row>
    <row r="9" customFormat="false" ht="16.5" hidden="false" customHeight="true" outlineLevel="0" collapsed="false">
      <c r="A9" s="111" t="s">
        <v>109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 t="n">
        <f aca="false">X9+V9+T9+R9+P9+N9+L9+J9+H9+F9+D9+B9</f>
        <v>0</v>
      </c>
      <c r="AB9" s="112" t="n">
        <f aca="false">Y9+W9+U9+S9+Q9+O9+M9+K9+I9+G9+E9+C9</f>
        <v>0</v>
      </c>
      <c r="AD9" s="113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</row>
    <row r="10" customFormat="false" ht="16.5" hidden="false" customHeight="true" outlineLevel="0" collapsed="false">
      <c r="A10" s="111" t="s">
        <v>110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 t="n">
        <f aca="false">X10+V10+T10+R10+P10+N10+L10+J10+H10+F10+D10+B10</f>
        <v>0</v>
      </c>
      <c r="AB10" s="112" t="n">
        <f aca="false">Y10+W10+U10+S10+Q10+O10+M10+K10+I10+G10+E10+C10</f>
        <v>0</v>
      </c>
      <c r="AD10" s="113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</row>
    <row r="11" customFormat="false" ht="16.5" hidden="false" customHeight="true" outlineLevel="0" collapsed="false">
      <c r="A11" s="111" t="s">
        <v>111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 t="n">
        <f aca="false">X11+V11+T11+R11+P11+N11+L11+J11+H11+F11+D11+B11</f>
        <v>0</v>
      </c>
      <c r="AB11" s="112" t="n">
        <f aca="false">Y11+W11+U11+S11+Q11+O11+M11+K11+I11+G11+E11+C11</f>
        <v>0</v>
      </c>
      <c r="AD11" s="113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</row>
    <row r="12" customFormat="false" ht="16.5" hidden="false" customHeight="true" outlineLevel="0" collapsed="false">
      <c r="A12" s="111" t="s">
        <v>112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 t="n">
        <f aca="false">X12+V12+T12+R12+P12+N12+L12+J12+H12+F12+D12+B12</f>
        <v>0</v>
      </c>
      <c r="AB12" s="112" t="n">
        <f aca="false">Y12+W12+U12+S12+Q12+O12+M12+K12+I12+G12+E12+C12</f>
        <v>0</v>
      </c>
      <c r="AD12" s="113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</row>
    <row r="13" customFormat="false" ht="16.5" hidden="false" customHeight="true" outlineLevel="0" collapsed="false">
      <c r="A13" s="111" t="s">
        <v>113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 t="n">
        <f aca="false">X13+V13+T13+R13+P13+N13+L13+J13+H13+F13+D13+B13</f>
        <v>0</v>
      </c>
      <c r="AB13" s="112" t="n">
        <f aca="false">Y13+W13+U13+S13+Q13+O13+M13+K13+I13+G13+E13+C13</f>
        <v>0</v>
      </c>
      <c r="AD13" s="113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</row>
    <row r="14" customFormat="false" ht="16.5" hidden="false" customHeight="true" outlineLevel="0" collapsed="false">
      <c r="A14" s="111" t="s">
        <v>114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 t="n">
        <f aca="false">X14+V14+T14+R14+P14+N14+L14+J14+H14+F14+D14+B14</f>
        <v>0</v>
      </c>
      <c r="AB14" s="112" t="n">
        <f aca="false">Y14+W14+U14+S14+Q14+O14+M14+K14+I14+G14+E14+C14</f>
        <v>0</v>
      </c>
      <c r="AD14" s="113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</row>
    <row r="15" customFormat="false" ht="16.5" hidden="false" customHeight="true" outlineLevel="0" collapsed="false">
      <c r="A15" s="111" t="s">
        <v>115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 t="n">
        <f aca="false">X15+V15+T15+R15+P15+N15+L15+J15+H15+F15+D15+B15</f>
        <v>0</v>
      </c>
      <c r="AB15" s="112" t="n">
        <f aca="false">Y15+W15+U15+S15+Q15+O15+M15+K15+I15+G15+E15+C15</f>
        <v>0</v>
      </c>
      <c r="AD15" s="113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</row>
    <row r="16" customFormat="false" ht="16.5" hidden="false" customHeight="true" outlineLevel="0" collapsed="false">
      <c r="A16" s="111" t="s">
        <v>116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 t="n">
        <f aca="false">X16+V16+T16+R16+P16+N16+L16+J16+H16+F16+D16+B16</f>
        <v>0</v>
      </c>
      <c r="AB16" s="112" t="n">
        <f aca="false">Y16+W16+U16+S16+Q16+O16+M16+K16+I16+G16+E16+C16</f>
        <v>0</v>
      </c>
      <c r="AD16" s="113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</row>
    <row r="17" customFormat="false" ht="16.5" hidden="false" customHeight="true" outlineLevel="0" collapsed="false">
      <c r="A17" s="111" t="s">
        <v>117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 t="n">
        <f aca="false">X17+V17+T17+R17+P17+N17+L17+J17+H17+F17+D17+B17</f>
        <v>0</v>
      </c>
      <c r="AB17" s="112" t="n">
        <f aca="false">Y17+W17+U17+S17+Q17+O17+M17+K17+I17+G17+E17+C17</f>
        <v>0</v>
      </c>
      <c r="AD17" s="113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</row>
    <row r="18" customFormat="false" ht="16.5" hidden="false" customHeight="true" outlineLevel="0" collapsed="false">
      <c r="A18" s="111" t="s">
        <v>118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 t="n">
        <f aca="false">X18+V18+T18+R18+P18+N18+L18+J18+H18+F18+D18+B18</f>
        <v>0</v>
      </c>
      <c r="AB18" s="112" t="n">
        <f aca="false">Y18+W18+U18+S18+Q18+O18+M18+K18+I18+G18+E18+C18</f>
        <v>0</v>
      </c>
      <c r="AD18" s="113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</row>
    <row r="19" customFormat="false" ht="16.5" hidden="false" customHeight="true" outlineLevel="0" collapsed="false">
      <c r="A19" s="111" t="s">
        <v>119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 t="n">
        <f aca="false">X19+V19+T19+R19+P19+N19+L19+J19+H19+F19+D19+B19</f>
        <v>0</v>
      </c>
      <c r="AB19" s="112" t="n">
        <f aca="false">Y19+W19+U19+S19+Q19+O19+M19+K19+I19+G19+E19+C19</f>
        <v>0</v>
      </c>
      <c r="AD19" s="113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</row>
    <row r="20" customFormat="false" ht="16.5" hidden="false" customHeight="true" outlineLevel="0" collapsed="false">
      <c r="A20" s="111" t="s">
        <v>120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 t="n">
        <f aca="false">X20+V20+T20+R20+P20+N20+L20+J20+H20+F20+D20+B20</f>
        <v>0</v>
      </c>
      <c r="AB20" s="112" t="n">
        <f aca="false">Y20+W20+U20+S20+Q20+O20+M20+K20+I20+G20+E20+C20</f>
        <v>0</v>
      </c>
      <c r="AD20" s="113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</row>
    <row r="21" customFormat="false" ht="16.5" hidden="false" customHeight="true" outlineLevel="0" collapsed="false">
      <c r="A21" s="111" t="s">
        <v>121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 t="n">
        <f aca="false">X21+V21+T21+R21+P21+N21+L21+J21+H21+F21+D21+B21</f>
        <v>0</v>
      </c>
      <c r="AB21" s="112" t="n">
        <f aca="false">Y21+W21+U21+S21+Q21+O21+M21+K21+I21+G21+E21+C21</f>
        <v>0</v>
      </c>
      <c r="AD21" s="113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</row>
    <row r="22" customFormat="false" ht="16.5" hidden="false" customHeight="true" outlineLevel="0" collapsed="false">
      <c r="A22" s="111" t="s">
        <v>122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 t="n">
        <f aca="false">X22+V22+T22+R22+P22+N22+L22+J22+H22+F22+D22+B22</f>
        <v>0</v>
      </c>
      <c r="AB22" s="112" t="n">
        <f aca="false">Y22+W22+U22+S22+Q22+O22+M22+K22+I22+G22+E22+C22</f>
        <v>0</v>
      </c>
      <c r="AD22" s="113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</row>
    <row r="23" customFormat="false" ht="16.5" hidden="false" customHeight="true" outlineLevel="0" collapsed="false">
      <c r="A23" s="111" t="s">
        <v>123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 t="n">
        <f aca="false">X23+V23+T23+R23+P23+N23+L23+J23+H23+F23+D23+B23</f>
        <v>0</v>
      </c>
      <c r="AB23" s="112" t="n">
        <f aca="false">Y23+W23+U23+S23+Q23+O23+M23+K23+I23+G23+E23+C23</f>
        <v>0</v>
      </c>
      <c r="AD23" s="113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</row>
    <row r="24" customFormat="false" ht="16.5" hidden="false" customHeight="true" outlineLevel="0" collapsed="false">
      <c r="A24" s="111" t="s">
        <v>124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 t="n">
        <f aca="false">X24+V24+T24+R24+P24+N24+L24+J24+H24+F24+D24+B24</f>
        <v>0</v>
      </c>
      <c r="AB24" s="112" t="n">
        <f aca="false">Y24+W24+U24+S24+Q24+O24+M24+K24+I24+G24+E24+C24</f>
        <v>0</v>
      </c>
      <c r="AD24" s="113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</row>
    <row r="25" customFormat="false" ht="16.5" hidden="false" customHeight="true" outlineLevel="0" collapsed="false">
      <c r="A25" s="111" t="s">
        <v>125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 t="n">
        <f aca="false">X25+V25+T25+R25+P25+N25+L25+J25+H25+F25+D25+B25</f>
        <v>0</v>
      </c>
      <c r="AB25" s="112" t="n">
        <f aca="false">Y25+W25+U25+S25+Q25+O25+M25+K25+I25+G25+E25+C25</f>
        <v>0</v>
      </c>
      <c r="AD25" s="113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</row>
    <row r="26" customFormat="false" ht="16.5" hidden="false" customHeight="true" outlineLevel="0" collapsed="false">
      <c r="A26" s="111" t="s">
        <v>126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 t="n">
        <f aca="false">X26+V26+T26+R26+P26+N26+L26+J26+H26+F26+D26+B26</f>
        <v>0</v>
      </c>
      <c r="AB26" s="112" t="n">
        <f aca="false">Y26+W26+U26+S26+Q26+O26+M26+K26+I26+G26+E26+C26</f>
        <v>0</v>
      </c>
      <c r="AD26" s="113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</row>
    <row r="27" customFormat="false" ht="16.5" hidden="false" customHeight="true" outlineLevel="0" collapsed="false">
      <c r="A27" s="111" t="s">
        <v>127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 t="n">
        <f aca="false">X27+V27+T27+R27+P27+N27+L27+J27+H27+F27+D27+B27</f>
        <v>0</v>
      </c>
      <c r="AB27" s="112" t="n">
        <f aca="false">Y27+W27+U27+S27+Q27+O27+M27+K27+I27+G27+E27+C27</f>
        <v>0</v>
      </c>
      <c r="AD27" s="114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</row>
    <row r="28" customFormat="false" ht="15.75" hidden="false" customHeight="true" outlineLevel="0" collapsed="false">
      <c r="A28" s="116" t="s">
        <v>128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</row>
    <row r="29" customFormat="false" ht="15.75" hidden="false" customHeight="true" outlineLevel="0" collapsed="false">
      <c r="A29" s="116" t="s">
        <v>129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</row>
    <row r="30" customFormat="false" ht="15.75" hidden="false" customHeight="true" outlineLevel="0" collapsed="false">
      <c r="A30" s="116" t="s">
        <v>130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</row>
    <row r="31" customFormat="false" ht="15.75" hidden="false" customHeight="true" outlineLevel="0" collapsed="false">
      <c r="A31" s="116" t="s">
        <v>131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</row>
    <row r="32" customFormat="false" ht="15.75" hidden="false" customHeight="true" outlineLevel="0" collapsed="false">
      <c r="A32" s="116" t="s">
        <v>132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</row>
  </sheetData>
  <mergeCells count="25">
    <mergeCell ref="A1:E1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A4:AB4"/>
    <mergeCell ref="AD4:AE4"/>
    <mergeCell ref="AF4:AG4"/>
    <mergeCell ref="AH4:AI4"/>
    <mergeCell ref="AJ4:AK4"/>
    <mergeCell ref="AL4:AM4"/>
    <mergeCell ref="AN4:AO4"/>
    <mergeCell ref="A28:M28"/>
    <mergeCell ref="A29:M29"/>
    <mergeCell ref="A30:M30"/>
    <mergeCell ref="A31:M31"/>
    <mergeCell ref="A32:M32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46.29"/>
    <col collapsed="false" customWidth="true" hidden="false" outlineLevel="0" max="2" min="2" style="0" width="16"/>
    <col collapsed="false" customWidth="true" hidden="false" outlineLevel="0" max="3" min="3" style="0" width="14.71"/>
  </cols>
  <sheetData>
    <row r="1" customFormat="false" ht="18.75" hidden="false" customHeight="true" outlineLevel="0" collapsed="false">
      <c r="A1" s="117" t="s">
        <v>133</v>
      </c>
      <c r="B1" s="117"/>
      <c r="C1" s="117"/>
    </row>
    <row r="2" customFormat="false" ht="15.75" hidden="false" customHeight="true" outlineLevel="0" collapsed="false">
      <c r="A2" s="28" t="s">
        <v>1</v>
      </c>
    </row>
    <row r="3" customFormat="false" ht="15.75" hidden="false" customHeight="true" outlineLevel="0" collapsed="false">
      <c r="A3" s="28" t="s">
        <v>55</v>
      </c>
    </row>
    <row r="4" customFormat="false" ht="15.75" hidden="false" customHeight="true" outlineLevel="0" collapsed="false">
      <c r="A4" s="49" t="s">
        <v>31</v>
      </c>
      <c r="B4" s="50" t="s">
        <v>32</v>
      </c>
      <c r="C4" s="50"/>
    </row>
    <row r="5" customFormat="false" ht="15.75" hidden="false" customHeight="true" outlineLevel="0" collapsed="false">
      <c r="A5" s="33"/>
      <c r="B5" s="34" t="s">
        <v>6</v>
      </c>
      <c r="C5" s="35" t="s">
        <v>33</v>
      </c>
    </row>
    <row r="6" customFormat="false" ht="15" hidden="false" customHeight="false" outlineLevel="0" collapsed="false">
      <c r="A6" s="36" t="s">
        <v>34</v>
      </c>
      <c r="B6" s="37" t="n">
        <f aca="false">B14+B33</f>
        <v>0</v>
      </c>
      <c r="C6" s="38" t="n">
        <f aca="false">C14+C33</f>
        <v>0</v>
      </c>
    </row>
    <row r="7" customFormat="false" ht="15" hidden="false" customHeight="false" outlineLevel="0" collapsed="false">
      <c r="A7" s="39" t="s">
        <v>35</v>
      </c>
      <c r="B7" s="40" t="n">
        <f aca="false">B21+B42</f>
        <v>0</v>
      </c>
      <c r="C7" s="41" t="n">
        <f aca="false">C21+C42</f>
        <v>0</v>
      </c>
    </row>
    <row r="8" customFormat="false" ht="15.75" hidden="false" customHeight="true" outlineLevel="0" collapsed="false">
      <c r="A8" s="42"/>
      <c r="B8" s="43"/>
      <c r="C8" s="44"/>
    </row>
    <row r="9" customFormat="false" ht="15.75" hidden="false" customHeight="true" outlineLevel="0" collapsed="false">
      <c r="A9" s="45" t="s">
        <v>36</v>
      </c>
      <c r="B9" s="46" t="n">
        <v>0</v>
      </c>
      <c r="C9" s="47" t="n">
        <v>0</v>
      </c>
    </row>
    <row r="10" customFormat="false" ht="15.75" hidden="false" customHeight="true" outlineLevel="0" collapsed="false">
      <c r="A10" s="42"/>
      <c r="C10" s="48"/>
    </row>
    <row r="11" customFormat="false" ht="15.75" hidden="false" customHeight="true" outlineLevel="0" collapsed="false">
      <c r="A11" s="49" t="s">
        <v>37</v>
      </c>
      <c r="B11" s="50"/>
      <c r="C11" s="50"/>
    </row>
    <row r="12" customFormat="false" ht="15" hidden="false" customHeight="false" outlineLevel="0" collapsed="false">
      <c r="A12" s="7"/>
      <c r="B12" s="118"/>
      <c r="C12" s="118"/>
    </row>
    <row r="13" customFormat="false" ht="15.75" hidden="false" customHeight="true" outlineLevel="0" collapsed="false">
      <c r="A13" s="33"/>
      <c r="B13" s="51" t="s">
        <v>6</v>
      </c>
      <c r="C13" s="52" t="s">
        <v>33</v>
      </c>
    </row>
    <row r="14" customFormat="false" ht="15" hidden="false" customHeight="false" outlineLevel="0" collapsed="false">
      <c r="A14" s="36" t="s">
        <v>34</v>
      </c>
      <c r="B14" s="37" t="n">
        <f aca="false">SUM(B15:B20)</f>
        <v>0</v>
      </c>
      <c r="C14" s="37" t="n">
        <f aca="false">SUM(C15:C20)</f>
        <v>0</v>
      </c>
    </row>
    <row r="15" customFormat="false" ht="15" hidden="false" customHeight="false" outlineLevel="0" collapsed="false">
      <c r="A15" s="53" t="s">
        <v>38</v>
      </c>
      <c r="B15" s="54"/>
      <c r="C15" s="55"/>
    </row>
    <row r="16" customFormat="false" ht="15" hidden="false" customHeight="false" outlineLevel="0" collapsed="false">
      <c r="A16" s="53" t="s">
        <v>39</v>
      </c>
      <c r="B16" s="54"/>
      <c r="C16" s="55"/>
    </row>
    <row r="17" customFormat="false" ht="15" hidden="false" customHeight="false" outlineLevel="0" collapsed="false">
      <c r="A17" s="53" t="s">
        <v>40</v>
      </c>
      <c r="B17" s="54"/>
      <c r="C17" s="55"/>
    </row>
    <row r="18" customFormat="false" ht="15" hidden="false" customHeight="false" outlineLevel="0" collapsed="false">
      <c r="A18" s="53" t="s">
        <v>41</v>
      </c>
      <c r="B18" s="54"/>
      <c r="C18" s="55"/>
    </row>
    <row r="19" customFormat="false" ht="15" hidden="false" customHeight="false" outlineLevel="0" collapsed="false">
      <c r="A19" s="53" t="s">
        <v>42</v>
      </c>
      <c r="B19" s="54"/>
      <c r="C19" s="55"/>
    </row>
    <row r="20" customFormat="false" ht="15.75" hidden="false" customHeight="true" outlineLevel="0" collapsed="false">
      <c r="A20" s="56" t="s">
        <v>43</v>
      </c>
      <c r="B20" s="57"/>
      <c r="C20" s="58"/>
    </row>
    <row r="21" customFormat="false" ht="15.75" hidden="false" customHeight="true" outlineLevel="0" collapsed="false">
      <c r="A21" s="59" t="s">
        <v>35</v>
      </c>
      <c r="B21" s="60" t="n">
        <f aca="false">SUM(B22:B27)</f>
        <v>0</v>
      </c>
      <c r="C21" s="60" t="n">
        <f aca="false">SUM(C22:C27)</f>
        <v>0</v>
      </c>
    </row>
    <row r="22" customFormat="false" ht="15" hidden="false" customHeight="false" outlineLevel="0" collapsed="false">
      <c r="A22" s="61" t="s">
        <v>38</v>
      </c>
      <c r="B22" s="40"/>
      <c r="C22" s="62"/>
    </row>
    <row r="23" customFormat="false" ht="15" hidden="false" customHeight="false" outlineLevel="0" collapsed="false">
      <c r="A23" s="61" t="s">
        <v>39</v>
      </c>
      <c r="B23" s="40"/>
      <c r="C23" s="62"/>
    </row>
    <row r="24" customFormat="false" ht="15" hidden="false" customHeight="false" outlineLevel="0" collapsed="false">
      <c r="A24" s="61" t="s">
        <v>40</v>
      </c>
      <c r="B24" s="40"/>
      <c r="C24" s="62"/>
    </row>
    <row r="25" customFormat="false" ht="15" hidden="false" customHeight="false" outlineLevel="0" collapsed="false">
      <c r="A25" s="61" t="s">
        <v>41</v>
      </c>
      <c r="B25" s="40"/>
      <c r="C25" s="62"/>
    </row>
    <row r="26" customFormat="false" ht="15" hidden="false" customHeight="false" outlineLevel="0" collapsed="false">
      <c r="A26" s="61" t="s">
        <v>42</v>
      </c>
      <c r="B26" s="40"/>
      <c r="C26" s="62"/>
    </row>
    <row r="27" customFormat="false" ht="15.75" hidden="false" customHeight="true" outlineLevel="0" collapsed="false">
      <c r="A27" s="63" t="s">
        <v>43</v>
      </c>
      <c r="B27" s="64"/>
      <c r="C27" s="65"/>
    </row>
    <row r="28" customFormat="false" ht="16.5" hidden="false" customHeight="true" outlineLevel="0" collapsed="false">
      <c r="A28" s="66" t="s">
        <v>36</v>
      </c>
      <c r="B28" s="67" t="n">
        <v>0</v>
      </c>
      <c r="C28" s="68" t="n">
        <v>0</v>
      </c>
    </row>
    <row r="29" customFormat="false" ht="15.75" hidden="false" customHeight="true" outlineLevel="0" collapsed="false">
      <c r="A29" s="42"/>
      <c r="C29" s="48"/>
    </row>
    <row r="30" customFormat="false" ht="15.75" hidden="false" customHeight="true" outlineLevel="0" collapsed="false">
      <c r="A30" s="69" t="s">
        <v>44</v>
      </c>
      <c r="B30" s="70"/>
      <c r="C30" s="70"/>
    </row>
    <row r="31" customFormat="false" ht="15" hidden="false" customHeight="false" outlineLevel="0" collapsed="false">
      <c r="A31" s="119"/>
      <c r="B31" s="120"/>
      <c r="C31" s="120"/>
    </row>
    <row r="32" customFormat="false" ht="15.75" hidden="false" customHeight="true" outlineLevel="0" collapsed="false">
      <c r="A32" s="71"/>
      <c r="B32" s="51" t="s">
        <v>6</v>
      </c>
      <c r="C32" s="52" t="s">
        <v>33</v>
      </c>
    </row>
    <row r="33" customFormat="false" ht="15.75" hidden="false" customHeight="true" outlineLevel="0" collapsed="false">
      <c r="A33" s="72" t="s">
        <v>34</v>
      </c>
      <c r="B33" s="73"/>
      <c r="C33" s="74"/>
    </row>
    <row r="34" customFormat="false" ht="15.75" hidden="false" customHeight="true" outlineLevel="0" collapsed="false">
      <c r="A34" s="75" t="s">
        <v>45</v>
      </c>
      <c r="B34" s="76"/>
      <c r="C34" s="55"/>
    </row>
    <row r="35" customFormat="false" ht="15" hidden="false" customHeight="false" outlineLevel="0" collapsed="false">
      <c r="A35" s="77" t="s">
        <v>46</v>
      </c>
      <c r="B35" s="78"/>
      <c r="C35" s="79"/>
    </row>
    <row r="36" customFormat="false" ht="15" hidden="false" customHeight="false" outlineLevel="0" collapsed="false">
      <c r="A36" s="77" t="s">
        <v>47</v>
      </c>
      <c r="B36" s="78"/>
      <c r="C36" s="79"/>
    </row>
    <row r="37" customFormat="false" ht="15" hidden="false" customHeight="false" outlineLevel="0" collapsed="false">
      <c r="A37" s="77" t="s">
        <v>48</v>
      </c>
      <c r="B37" s="78"/>
      <c r="C37" s="79"/>
    </row>
    <row r="38" customFormat="false" ht="15" hidden="false" customHeight="false" outlineLevel="0" collapsed="false">
      <c r="A38" s="77" t="s">
        <v>49</v>
      </c>
      <c r="B38" s="78"/>
      <c r="C38" s="79"/>
    </row>
    <row r="39" customFormat="false" ht="15" hidden="false" customHeight="false" outlineLevel="0" collapsed="false">
      <c r="A39" s="77" t="s">
        <v>50</v>
      </c>
      <c r="B39" s="78"/>
      <c r="C39" s="79"/>
    </row>
    <row r="40" customFormat="false" ht="15" hidden="false" customHeight="false" outlineLevel="0" collapsed="false">
      <c r="A40" s="77" t="s">
        <v>51</v>
      </c>
      <c r="B40" s="78"/>
      <c r="C40" s="79"/>
    </row>
    <row r="41" customFormat="false" ht="15" hidden="false" customHeight="false" outlineLevel="0" collapsed="false">
      <c r="A41" s="77" t="s">
        <v>52</v>
      </c>
      <c r="B41" s="78"/>
      <c r="C41" s="79"/>
    </row>
    <row r="42" customFormat="false" ht="15.75" hidden="false" customHeight="true" outlineLevel="0" collapsed="false">
      <c r="A42" s="80" t="s">
        <v>35</v>
      </c>
      <c r="B42" s="81"/>
      <c r="C42" s="65"/>
    </row>
    <row r="43" customFormat="false" ht="15.75" hidden="false" customHeight="true" outlineLevel="0" collapsed="false">
      <c r="A43" s="82" t="s">
        <v>45</v>
      </c>
      <c r="B43" s="83"/>
      <c r="C43" s="84"/>
    </row>
    <row r="44" customFormat="false" ht="15" hidden="false" customHeight="false" outlineLevel="0" collapsed="false">
      <c r="A44" s="85" t="s">
        <v>46</v>
      </c>
      <c r="B44" s="86"/>
      <c r="C44" s="62"/>
    </row>
    <row r="45" customFormat="false" ht="15" hidden="false" customHeight="false" outlineLevel="0" collapsed="false">
      <c r="A45" s="85" t="s">
        <v>47</v>
      </c>
      <c r="B45" s="86"/>
      <c r="C45" s="62"/>
    </row>
    <row r="46" customFormat="false" ht="15" hidden="false" customHeight="false" outlineLevel="0" collapsed="false">
      <c r="A46" s="85" t="s">
        <v>53</v>
      </c>
      <c r="B46" s="86"/>
      <c r="C46" s="62"/>
    </row>
    <row r="47" customFormat="false" ht="15" hidden="false" customHeight="false" outlineLevel="0" collapsed="false">
      <c r="A47" s="85" t="s">
        <v>49</v>
      </c>
      <c r="B47" s="86"/>
      <c r="C47" s="62"/>
    </row>
    <row r="48" customFormat="false" ht="15" hidden="false" customHeight="false" outlineLevel="0" collapsed="false">
      <c r="A48" s="85" t="s">
        <v>50</v>
      </c>
      <c r="B48" s="86"/>
      <c r="C48" s="62"/>
    </row>
    <row r="49" customFormat="false" ht="15" hidden="false" customHeight="false" outlineLevel="0" collapsed="false">
      <c r="A49" s="85" t="s">
        <v>51</v>
      </c>
      <c r="B49" s="86"/>
      <c r="C49" s="62"/>
    </row>
    <row r="50" customFormat="false" ht="15.75" hidden="false" customHeight="true" outlineLevel="0" collapsed="false">
      <c r="A50" s="87" t="s">
        <v>52</v>
      </c>
      <c r="B50" s="81"/>
      <c r="C50" s="65"/>
    </row>
    <row r="51" customFormat="false" ht="16.5" hidden="false" customHeight="true" outlineLevel="0" collapsed="false">
      <c r="A51" s="88" t="s">
        <v>36</v>
      </c>
      <c r="B51" s="89" t="n">
        <v>0</v>
      </c>
      <c r="C51" s="68" t="n">
        <v>0</v>
      </c>
    </row>
  </sheetData>
  <mergeCells count="6">
    <mergeCell ref="A1:C1"/>
    <mergeCell ref="B4:C4"/>
    <mergeCell ref="B11:C11"/>
    <mergeCell ref="B12:C12"/>
    <mergeCell ref="B30:C30"/>
    <mergeCell ref="B31:C31"/>
  </mergeCells>
  <printOptions headings="false" gridLines="false" gridLinesSet="true" horizontalCentered="false" verticalCentered="false"/>
  <pageMargins left="0.708333333333333" right="0.708333333333333" top="0.157638888888889" bottom="0.197222222222222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34.57"/>
  </cols>
  <sheetData>
    <row r="1" customFormat="false" ht="15" hidden="false" customHeight="false" outlineLevel="0" collapsed="false">
      <c r="A1" s="0" t="s">
        <v>134</v>
      </c>
    </row>
    <row r="2" customFormat="false" ht="15" hidden="false" customHeight="false" outlineLevel="0" collapsed="false">
      <c r="A2" s="0" t="s">
        <v>135</v>
      </c>
      <c r="B2" s="0" t="s">
        <v>136</v>
      </c>
    </row>
    <row r="3" customFormat="false" ht="15" hidden="false" customHeight="false" outlineLevel="0" collapsed="false">
      <c r="A3" s="0" t="s">
        <v>137</v>
      </c>
      <c r="B3" s="0" t="n">
        <v>11386</v>
      </c>
    </row>
    <row r="4" customFormat="false" ht="15" hidden="false" customHeight="false" outlineLevel="0" collapsed="false">
      <c r="A4" s="0" t="s">
        <v>138</v>
      </c>
      <c r="B4" s="0" t="n">
        <v>29374</v>
      </c>
    </row>
    <row r="6" customFormat="false" ht="15.75" hidden="false" customHeight="true" outlineLevel="0" collapsed="false">
      <c r="A6" s="121" t="s">
        <v>139</v>
      </c>
      <c r="B6" s="121"/>
    </row>
    <row r="7" customFormat="false" ht="29.25" hidden="false" customHeight="true" outlineLevel="0" collapsed="false">
      <c r="A7" s="122" t="s">
        <v>140</v>
      </c>
      <c r="B7" s="123" t="s">
        <v>139</v>
      </c>
    </row>
    <row r="8" customFormat="false" ht="15.75" hidden="false" customHeight="true" outlineLevel="0" collapsed="false">
      <c r="A8" s="124" t="s">
        <v>141</v>
      </c>
      <c r="B8" s="125"/>
    </row>
    <row r="9" customFormat="false" ht="15.75" hidden="false" customHeight="true" outlineLevel="0" collapsed="false">
      <c r="A9" s="124" t="s">
        <v>142</v>
      </c>
      <c r="B9" s="125"/>
    </row>
    <row r="10" customFormat="false" ht="15.75" hidden="false" customHeight="true" outlineLevel="0" collapsed="false">
      <c r="A10" s="124" t="s">
        <v>143</v>
      </c>
      <c r="B10" s="125" t="n">
        <v>21298</v>
      </c>
    </row>
    <row r="11" customFormat="false" ht="15.75" hidden="false" customHeight="true" outlineLevel="0" collapsed="false">
      <c r="A11" s="124" t="s">
        <v>144</v>
      </c>
      <c r="B11" s="125"/>
    </row>
    <row r="12" customFormat="false" ht="15.75" hidden="false" customHeight="true" outlineLevel="0" collapsed="false">
      <c r="A12" s="126" t="s">
        <v>145</v>
      </c>
      <c r="B12" s="125"/>
    </row>
    <row r="13" customFormat="false" ht="15" hidden="false" customHeight="false" outlineLevel="0" collapsed="false">
      <c r="A13" s="127"/>
      <c r="B13" s="128"/>
    </row>
    <row r="14" customFormat="false" ht="15.75" hidden="false" customHeight="true" outlineLevel="0" collapsed="false">
      <c r="A14" s="121" t="s">
        <v>146</v>
      </c>
      <c r="B14" s="121"/>
      <c r="C14" s="121"/>
      <c r="D14" s="121"/>
      <c r="E14" s="121"/>
    </row>
    <row r="15" customFormat="false" ht="55.5" hidden="false" customHeight="true" outlineLevel="0" collapsed="false">
      <c r="A15" s="122" t="s">
        <v>147</v>
      </c>
      <c r="B15" s="122"/>
      <c r="C15" s="122" t="s">
        <v>6</v>
      </c>
      <c r="D15" s="122" t="s">
        <v>148</v>
      </c>
      <c r="E15" s="122"/>
    </row>
    <row r="16" customFormat="false" ht="15.75" hidden="false" customHeight="true" outlineLevel="0" collapsed="false">
      <c r="A16" s="122"/>
      <c r="B16" s="122"/>
      <c r="C16" s="122"/>
      <c r="D16" s="122"/>
      <c r="E16" s="122"/>
    </row>
    <row r="17" customFormat="false" ht="15.75" hidden="false" customHeight="true" outlineLevel="0" collapsed="false">
      <c r="A17" s="129" t="s">
        <v>149</v>
      </c>
      <c r="B17" s="129"/>
      <c r="C17" s="125"/>
      <c r="D17" s="129"/>
      <c r="E17" s="129"/>
    </row>
    <row r="18" customFormat="false" ht="15.75" hidden="false" customHeight="true" outlineLevel="0" collapsed="false">
      <c r="A18" s="129" t="s">
        <v>150</v>
      </c>
      <c r="B18" s="129"/>
      <c r="C18" s="130" t="n">
        <v>200511</v>
      </c>
      <c r="D18" s="131" t="n">
        <v>26071211660</v>
      </c>
      <c r="E18" s="131"/>
    </row>
    <row r="19" customFormat="false" ht="15.75" hidden="false" customHeight="true" outlineLevel="0" collapsed="false">
      <c r="A19" s="129" t="s">
        <v>151</v>
      </c>
      <c r="B19" s="129"/>
      <c r="C19" s="130" t="n">
        <v>15658</v>
      </c>
      <c r="D19" s="131" t="n">
        <v>2355457187</v>
      </c>
      <c r="E19" s="131"/>
    </row>
    <row r="20" customFormat="false" ht="15.75" hidden="false" customHeight="true" outlineLevel="0" collapsed="false">
      <c r="A20" s="129" t="s">
        <v>152</v>
      </c>
      <c r="B20" s="129"/>
      <c r="C20" s="125"/>
      <c r="D20" s="129"/>
      <c r="E20" s="129"/>
    </row>
    <row r="21" customFormat="false" ht="15.75" hidden="false" customHeight="true" outlineLevel="0" collapsed="false">
      <c r="A21" s="129" t="s">
        <v>153</v>
      </c>
      <c r="B21" s="129"/>
      <c r="C21" s="125"/>
      <c r="D21" s="129"/>
      <c r="E21" s="129"/>
    </row>
    <row r="22" customFormat="false" ht="15.75" hidden="false" customHeight="true" outlineLevel="0" collapsed="false">
      <c r="A22" s="129" t="s">
        <v>154</v>
      </c>
      <c r="B22" s="129"/>
      <c r="C22" s="125"/>
      <c r="D22" s="129"/>
      <c r="E22" s="129"/>
    </row>
    <row r="23" customFormat="false" ht="15.75" hidden="false" customHeight="true" outlineLevel="0" collapsed="false">
      <c r="A23" s="129" t="s">
        <v>155</v>
      </c>
      <c r="B23" s="129"/>
      <c r="C23" s="125"/>
      <c r="D23" s="129"/>
      <c r="E23" s="129"/>
    </row>
    <row r="24" customFormat="false" ht="15" hidden="false" customHeight="false" outlineLevel="0" collapsed="false">
      <c r="A24" s="128"/>
      <c r="B24" s="128"/>
      <c r="C24" s="128"/>
      <c r="D24" s="128"/>
      <c r="E24" s="128"/>
    </row>
    <row r="25" customFormat="false" ht="15" hidden="false" customHeight="false" outlineLevel="0" collapsed="false">
      <c r="A25" s="128"/>
      <c r="B25" s="128"/>
      <c r="C25" s="128"/>
      <c r="D25" s="128"/>
      <c r="E25" s="128"/>
    </row>
    <row r="26" customFormat="false" ht="15.75" hidden="false" customHeight="true" outlineLevel="0" collapsed="false">
      <c r="A26" s="121" t="s">
        <v>156</v>
      </c>
      <c r="B26" s="121"/>
      <c r="C26" s="121"/>
      <c r="D26" s="121"/>
      <c r="E26" s="121"/>
    </row>
    <row r="27" customFormat="false" ht="15" hidden="false" customHeight="true" outlineLevel="0" collapsed="false">
      <c r="A27" s="122" t="s">
        <v>147</v>
      </c>
      <c r="B27" s="122"/>
      <c r="C27" s="122" t="s">
        <v>157</v>
      </c>
      <c r="D27" s="122" t="s">
        <v>158</v>
      </c>
      <c r="E27" s="122"/>
    </row>
    <row r="28" customFormat="false" ht="15.75" hidden="false" customHeight="true" outlineLevel="0" collapsed="false">
      <c r="A28" s="122"/>
      <c r="B28" s="122"/>
      <c r="C28" s="122"/>
      <c r="D28" s="122"/>
      <c r="E28" s="122"/>
    </row>
    <row r="29" customFormat="false" ht="15.75" hidden="false" customHeight="true" outlineLevel="0" collapsed="false">
      <c r="A29" s="129" t="s">
        <v>149</v>
      </c>
      <c r="B29" s="129"/>
      <c r="C29" s="125"/>
      <c r="D29" s="129"/>
      <c r="E29" s="129"/>
    </row>
    <row r="30" customFormat="false" ht="15.75" hidden="false" customHeight="true" outlineLevel="0" collapsed="false">
      <c r="A30" s="129" t="s">
        <v>150</v>
      </c>
      <c r="B30" s="129"/>
      <c r="C30" s="125"/>
      <c r="D30" s="129"/>
      <c r="E30" s="129"/>
    </row>
    <row r="31" customFormat="false" ht="15.75" hidden="false" customHeight="true" outlineLevel="0" collapsed="false">
      <c r="A31" s="129" t="s">
        <v>151</v>
      </c>
      <c r="B31" s="129"/>
      <c r="C31" s="125"/>
      <c r="D31" s="129"/>
      <c r="E31" s="129"/>
    </row>
    <row r="32" customFormat="false" ht="15.75" hidden="false" customHeight="true" outlineLevel="0" collapsed="false">
      <c r="A32" s="129" t="s">
        <v>152</v>
      </c>
      <c r="B32" s="129"/>
      <c r="C32" s="125"/>
      <c r="D32" s="129"/>
      <c r="E32" s="129"/>
    </row>
    <row r="33" customFormat="false" ht="15.75" hidden="false" customHeight="true" outlineLevel="0" collapsed="false">
      <c r="A33" s="129" t="s">
        <v>153</v>
      </c>
      <c r="B33" s="129"/>
      <c r="C33" s="125"/>
      <c r="D33" s="129"/>
      <c r="E33" s="129"/>
    </row>
    <row r="34" customFormat="false" ht="15.75" hidden="false" customHeight="true" outlineLevel="0" collapsed="false">
      <c r="A34" s="129" t="s">
        <v>154</v>
      </c>
      <c r="B34" s="129"/>
      <c r="C34" s="125"/>
      <c r="D34" s="129"/>
      <c r="E34" s="129"/>
    </row>
    <row r="35" customFormat="false" ht="15.75" hidden="false" customHeight="true" outlineLevel="0" collapsed="false">
      <c r="A35" s="129" t="s">
        <v>155</v>
      </c>
      <c r="B35" s="129"/>
      <c r="C35" s="125"/>
      <c r="D35" s="129"/>
      <c r="E35" s="129"/>
    </row>
  </sheetData>
  <mergeCells count="37">
    <mergeCell ref="A6:B6"/>
    <mergeCell ref="A14:E14"/>
    <mergeCell ref="A15:B16"/>
    <mergeCell ref="C15:C16"/>
    <mergeCell ref="D15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6:E26"/>
    <mergeCell ref="A27:B28"/>
    <mergeCell ref="C27:C28"/>
    <mergeCell ref="D27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20.57"/>
    <col collapsed="false" customWidth="true" hidden="false" outlineLevel="0" max="2" min="2" style="0" width="32.42"/>
    <col collapsed="false" customWidth="true" hidden="false" outlineLevel="0" max="3" min="3" style="132" width="61.71"/>
  </cols>
  <sheetData>
    <row r="1" customFormat="false" ht="21" hidden="false" customHeight="true" outlineLevel="0" collapsed="false">
      <c r="A1" s="133" t="s">
        <v>159</v>
      </c>
      <c r="B1" s="133"/>
      <c r="C1" s="133"/>
    </row>
    <row r="2" customFormat="false" ht="19.5" hidden="false" customHeight="true" outlineLevel="0" collapsed="false">
      <c r="A2" s="134" t="s">
        <v>160</v>
      </c>
      <c r="B2" s="135" t="s">
        <v>161</v>
      </c>
      <c r="C2" s="136"/>
    </row>
    <row r="3" customFormat="false" ht="15.75" hidden="false" customHeight="true" outlineLevel="0" collapsed="false">
      <c r="A3" s="137"/>
      <c r="B3" s="138" t="s">
        <v>162</v>
      </c>
      <c r="C3" s="138"/>
    </row>
    <row r="4" customFormat="false" ht="15.75" hidden="false" customHeight="true" outlineLevel="0" collapsed="false">
      <c r="A4" s="139"/>
      <c r="B4" s="140" t="s">
        <v>6</v>
      </c>
      <c r="C4" s="141" t="s">
        <v>105</v>
      </c>
    </row>
    <row r="5" customFormat="false" ht="15.75" hidden="false" customHeight="true" outlineLevel="0" collapsed="false">
      <c r="A5" s="142" t="s">
        <v>163</v>
      </c>
      <c r="B5" s="143" t="s">
        <v>164</v>
      </c>
      <c r="C5" s="144" t="s">
        <v>165</v>
      </c>
    </row>
    <row r="6" customFormat="false" ht="15.75" hidden="false" customHeight="true" outlineLevel="0" collapsed="false">
      <c r="A6" s="142" t="s">
        <v>166</v>
      </c>
      <c r="B6" s="143" t="s">
        <v>167</v>
      </c>
      <c r="C6" s="144" t="s">
        <v>168</v>
      </c>
    </row>
    <row r="7" customFormat="false" ht="15.75" hidden="false" customHeight="true" outlineLevel="0" collapsed="false">
      <c r="A7" s="142" t="s">
        <v>169</v>
      </c>
      <c r="B7" s="143" t="s">
        <v>167</v>
      </c>
      <c r="C7" s="144" t="s">
        <v>165</v>
      </c>
    </row>
    <row r="8" customFormat="false" ht="15.75" hidden="false" customHeight="true" outlineLevel="0" collapsed="false">
      <c r="A8" s="142" t="s">
        <v>170</v>
      </c>
      <c r="B8" s="143" t="s">
        <v>171</v>
      </c>
      <c r="C8" s="144" t="s">
        <v>168</v>
      </c>
    </row>
    <row r="9" customFormat="false" ht="15.75" hidden="false" customHeight="true" outlineLevel="0" collapsed="false">
      <c r="A9" s="142" t="s">
        <v>172</v>
      </c>
      <c r="B9" s="143" t="s">
        <v>167</v>
      </c>
      <c r="C9" s="144" t="s">
        <v>168</v>
      </c>
    </row>
    <row r="10" customFormat="false" ht="15.75" hidden="false" customHeight="true" outlineLevel="0" collapsed="false">
      <c r="A10" s="142" t="s">
        <v>173</v>
      </c>
      <c r="B10" s="143" t="s">
        <v>164</v>
      </c>
      <c r="C10" s="144" t="s">
        <v>168</v>
      </c>
    </row>
    <row r="11" customFormat="false" ht="15.75" hidden="false" customHeight="true" outlineLevel="0" collapsed="false">
      <c r="A11" s="139" t="s">
        <v>174</v>
      </c>
      <c r="B11" s="143" t="s">
        <v>167</v>
      </c>
      <c r="C11" s="144" t="s">
        <v>168</v>
      </c>
    </row>
    <row r="12" customFormat="false" ht="15.75" hidden="false" customHeight="true" outlineLevel="0" collapsed="false">
      <c r="A12" s="145"/>
      <c r="B12" s="135"/>
      <c r="C12" s="136"/>
    </row>
    <row r="13" customFormat="false" ht="15.75" hidden="false" customHeight="true" outlineLevel="0" collapsed="false">
      <c r="A13" s="137"/>
      <c r="B13" s="138" t="s">
        <v>175</v>
      </c>
      <c r="C13" s="138"/>
    </row>
    <row r="14" customFormat="false" ht="15.75" hidden="false" customHeight="true" outlineLevel="0" collapsed="false">
      <c r="A14" s="139"/>
      <c r="B14" s="140" t="s">
        <v>6</v>
      </c>
      <c r="C14" s="141" t="s">
        <v>105</v>
      </c>
    </row>
    <row r="15" customFormat="false" ht="15.75" hidden="false" customHeight="true" outlineLevel="0" collapsed="false">
      <c r="A15" s="142" t="s">
        <v>163</v>
      </c>
      <c r="B15" s="143"/>
      <c r="C15" s="144"/>
    </row>
    <row r="16" customFormat="false" ht="15.75" hidden="false" customHeight="true" outlineLevel="0" collapsed="false">
      <c r="A16" s="142" t="s">
        <v>176</v>
      </c>
      <c r="B16" s="143"/>
      <c r="C16" s="144"/>
    </row>
    <row r="17" customFormat="false" ht="15.75" hidden="false" customHeight="true" outlineLevel="0" collapsed="false">
      <c r="A17" s="142" t="s">
        <v>169</v>
      </c>
      <c r="B17" s="146" t="n">
        <v>227620</v>
      </c>
      <c r="C17" s="144" t="n">
        <v>27180183630</v>
      </c>
    </row>
    <row r="18" customFormat="false" ht="15.75" hidden="false" customHeight="true" outlineLevel="0" collapsed="false">
      <c r="A18" s="142" t="s">
        <v>177</v>
      </c>
      <c r="B18" s="143"/>
      <c r="C18" s="144"/>
    </row>
    <row r="19" customFormat="false" ht="15.75" hidden="false" customHeight="true" outlineLevel="0" collapsed="false">
      <c r="A19" s="142" t="s">
        <v>178</v>
      </c>
      <c r="B19" s="143"/>
      <c r="C19" s="147"/>
    </row>
    <row r="20" customFormat="false" ht="15.75" hidden="false" customHeight="true" outlineLevel="0" collapsed="false">
      <c r="A20" s="142" t="s">
        <v>179</v>
      </c>
      <c r="B20" s="139"/>
      <c r="C20" s="148" t="n">
        <v>5111554</v>
      </c>
    </row>
    <row r="21" customFormat="false" ht="15.75" hidden="false" customHeight="true" outlineLevel="0" collapsed="false">
      <c r="A21" s="139" t="s">
        <v>180</v>
      </c>
      <c r="B21" s="143" t="s">
        <v>164</v>
      </c>
      <c r="C21" s="144" t="n">
        <f aca="false">SUM(C17,C20)</f>
        <v>27185295184</v>
      </c>
    </row>
    <row r="22" customFormat="false" ht="15.75" hidden="false" customHeight="true" outlineLevel="0" collapsed="false">
      <c r="A22" s="145"/>
      <c r="B22" s="135"/>
      <c r="C22" s="136"/>
    </row>
    <row r="23" customFormat="false" ht="15.75" hidden="false" customHeight="true" outlineLevel="0" collapsed="false">
      <c r="A23" s="137"/>
      <c r="B23" s="138" t="s">
        <v>181</v>
      </c>
      <c r="C23" s="138"/>
    </row>
    <row r="24" customFormat="false" ht="15.75" hidden="false" customHeight="true" outlineLevel="0" collapsed="false">
      <c r="A24" s="139"/>
      <c r="B24" s="140" t="s">
        <v>6</v>
      </c>
      <c r="C24" s="141" t="s">
        <v>105</v>
      </c>
    </row>
    <row r="25" customFormat="false" ht="15.75" hidden="false" customHeight="true" outlineLevel="0" collapsed="false">
      <c r="A25" s="142" t="s">
        <v>163</v>
      </c>
      <c r="B25" s="143" t="n">
        <v>1946</v>
      </c>
      <c r="C25" s="144" t="n">
        <v>142134554</v>
      </c>
    </row>
    <row r="26" customFormat="false" ht="16.5" hidden="false" customHeight="true" outlineLevel="0" collapsed="false">
      <c r="A26" s="142" t="s">
        <v>176</v>
      </c>
      <c r="B26" s="143"/>
      <c r="C26" s="144"/>
    </row>
    <row r="27" customFormat="false" ht="15.75" hidden="false" customHeight="true" outlineLevel="0" collapsed="false">
      <c r="A27" s="142" t="s">
        <v>169</v>
      </c>
      <c r="B27" s="143" t="n">
        <v>2494</v>
      </c>
      <c r="C27" s="144" t="n">
        <v>542832163</v>
      </c>
    </row>
    <row r="28" customFormat="false" ht="15.75" hidden="false" customHeight="true" outlineLevel="0" collapsed="false">
      <c r="A28" s="142" t="s">
        <v>177</v>
      </c>
      <c r="B28" s="143"/>
      <c r="C28" s="144"/>
    </row>
    <row r="29" customFormat="false" ht="15.75" hidden="false" customHeight="true" outlineLevel="0" collapsed="false">
      <c r="A29" s="142" t="s">
        <v>178</v>
      </c>
      <c r="B29" s="143"/>
      <c r="C29" s="144"/>
    </row>
    <row r="30" customFormat="false" ht="15.75" hidden="false" customHeight="true" outlineLevel="0" collapsed="false">
      <c r="A30" s="142" t="s">
        <v>179</v>
      </c>
      <c r="B30" s="143"/>
      <c r="C30" s="144"/>
    </row>
    <row r="31" customFormat="false" ht="15.75" hidden="false" customHeight="true" outlineLevel="0" collapsed="false">
      <c r="A31" s="139" t="s">
        <v>182</v>
      </c>
      <c r="B31" s="143" t="n">
        <f aca="false">SUM(B25,B27)</f>
        <v>4440</v>
      </c>
      <c r="C31" s="144" t="n">
        <f aca="false">SUM(C25,C27)</f>
        <v>684966717</v>
      </c>
    </row>
    <row r="32" customFormat="false" ht="15.75" hidden="false" customHeight="true" outlineLevel="0" collapsed="false">
      <c r="A32" s="145"/>
      <c r="B32" s="135"/>
      <c r="C32" s="136"/>
    </row>
    <row r="33" customFormat="false" ht="15.75" hidden="false" customHeight="true" outlineLevel="0" collapsed="false">
      <c r="A33" s="137"/>
      <c r="B33" s="149" t="s">
        <v>183</v>
      </c>
      <c r="C33" s="149"/>
    </row>
    <row r="34" customFormat="false" ht="15.75" hidden="false" customHeight="true" outlineLevel="0" collapsed="false">
      <c r="A34" s="139"/>
      <c r="B34" s="140" t="s">
        <v>6</v>
      </c>
      <c r="C34" s="141" t="s">
        <v>105</v>
      </c>
    </row>
    <row r="35" customFormat="false" ht="15.75" hidden="false" customHeight="true" outlineLevel="0" collapsed="false">
      <c r="A35" s="142" t="s">
        <v>163</v>
      </c>
      <c r="B35" s="143" t="n">
        <v>12857</v>
      </c>
      <c r="C35" s="144" t="n">
        <v>1607486729</v>
      </c>
    </row>
    <row r="36" customFormat="false" ht="15.75" hidden="false" customHeight="true" outlineLevel="0" collapsed="false">
      <c r="A36" s="142" t="s">
        <v>184</v>
      </c>
      <c r="B36" s="143"/>
      <c r="C36" s="144"/>
    </row>
    <row r="37" customFormat="false" ht="15.75" hidden="false" customHeight="true" outlineLevel="0" collapsed="false">
      <c r="A37" s="142" t="s">
        <v>169</v>
      </c>
      <c r="B37" s="143" t="n">
        <v>13600</v>
      </c>
      <c r="C37" s="144" t="n">
        <v>1786145084</v>
      </c>
    </row>
    <row r="38" customFormat="false" ht="15.75" hidden="false" customHeight="true" outlineLevel="0" collapsed="false">
      <c r="A38" s="142" t="s">
        <v>177</v>
      </c>
      <c r="B38" s="143"/>
      <c r="C38" s="144"/>
    </row>
    <row r="39" customFormat="false" ht="15.75" hidden="false" customHeight="true" outlineLevel="0" collapsed="false">
      <c r="A39" s="142" t="s">
        <v>178</v>
      </c>
      <c r="B39" s="143"/>
      <c r="C39" s="144"/>
    </row>
    <row r="40" customFormat="false" ht="15.75" hidden="false" customHeight="true" outlineLevel="0" collapsed="false">
      <c r="A40" s="142" t="s">
        <v>179</v>
      </c>
      <c r="B40" s="143"/>
      <c r="C40" s="144" t="n">
        <v>7244698</v>
      </c>
    </row>
    <row r="41" customFormat="false" ht="15.75" hidden="false" customHeight="true" outlineLevel="0" collapsed="false">
      <c r="A41" s="139" t="s">
        <v>185</v>
      </c>
      <c r="B41" s="143" t="n">
        <f aca="false">SUM(B35,B37)</f>
        <v>26457</v>
      </c>
      <c r="C41" s="144" t="n">
        <v>3525974741</v>
      </c>
    </row>
    <row r="42" customFormat="false" ht="15" hidden="false" customHeight="false" outlineLevel="0" collapsed="false">
      <c r="A42" s="150" t="s">
        <v>186</v>
      </c>
      <c r="B42" s="150"/>
      <c r="C42" s="150"/>
    </row>
    <row r="43" customFormat="false" ht="15" hidden="false" customHeight="false" outlineLevel="0" collapsed="false">
      <c r="A43" s="151" t="s">
        <v>187</v>
      </c>
      <c r="B43" s="151"/>
      <c r="C43" s="151"/>
    </row>
    <row r="44" customFormat="false" ht="15" hidden="false" customHeight="false" outlineLevel="0" collapsed="false">
      <c r="A44" s="151" t="s">
        <v>188</v>
      </c>
      <c r="B44" s="151"/>
      <c r="C44" s="151"/>
    </row>
    <row r="45" customFormat="false" ht="15" hidden="false" customHeight="false" outlineLevel="0" collapsed="false">
      <c r="A45" s="151" t="s">
        <v>189</v>
      </c>
      <c r="B45" s="151"/>
      <c r="C45" s="151"/>
    </row>
    <row r="46" customFormat="false" ht="15" hidden="false" customHeight="false" outlineLevel="0" collapsed="false">
      <c r="A46" s="151" t="s">
        <v>190</v>
      </c>
      <c r="B46" s="151"/>
      <c r="C46" s="152"/>
    </row>
    <row r="47" customFormat="false" ht="15" hidden="false" customHeight="false" outlineLevel="0" collapsed="false">
      <c r="A47" s="151" t="s">
        <v>191</v>
      </c>
      <c r="B47" s="151"/>
      <c r="C47" s="151"/>
    </row>
    <row r="48" customFormat="false" ht="15" hidden="false" customHeight="false" outlineLevel="0" collapsed="false">
      <c r="A48" s="151" t="s">
        <v>192</v>
      </c>
      <c r="B48" s="151"/>
      <c r="C48" s="151"/>
    </row>
  </sheetData>
  <mergeCells count="12">
    <mergeCell ref="A1:C1"/>
    <mergeCell ref="B3:C3"/>
    <mergeCell ref="B13:C13"/>
    <mergeCell ref="B23:C23"/>
    <mergeCell ref="B33:C33"/>
    <mergeCell ref="A42:C42"/>
    <mergeCell ref="A43:C43"/>
    <mergeCell ref="A44:C44"/>
    <mergeCell ref="A45:C45"/>
    <mergeCell ref="A46:B46"/>
    <mergeCell ref="A47:C47"/>
    <mergeCell ref="A48:C48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H8" activeCellId="0" sqref="H8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37.42"/>
  </cols>
  <sheetData>
    <row r="1" customFormat="false" ht="15" hidden="false" customHeight="false" outlineLevel="0" collapsed="false">
      <c r="A1" s="0" t="s">
        <v>193</v>
      </c>
    </row>
    <row r="2" customFormat="false" ht="15" hidden="false" customHeight="false" outlineLevel="0" collapsed="false">
      <c r="A2" s="0" t="s">
        <v>194</v>
      </c>
      <c r="B2" s="0" t="s">
        <v>195</v>
      </c>
    </row>
    <row r="3" customFormat="false" ht="15.75" hidden="false" customHeight="true" outlineLevel="0" collapsed="false"/>
    <row r="4" customFormat="false" ht="72" hidden="false" customHeight="true" outlineLevel="0" collapsed="false">
      <c r="A4" s="123" t="s">
        <v>196</v>
      </c>
      <c r="B4" s="153" t="s">
        <v>197</v>
      </c>
      <c r="C4" s="123" t="s">
        <v>198</v>
      </c>
      <c r="D4" s="123" t="s">
        <v>199</v>
      </c>
      <c r="E4" s="123" t="s">
        <v>200</v>
      </c>
      <c r="F4" s="123" t="s">
        <v>201</v>
      </c>
    </row>
    <row r="5" customFormat="false" ht="15.75" hidden="false" customHeight="true" outlineLevel="0" collapsed="false">
      <c r="A5" s="125" t="s">
        <v>149</v>
      </c>
      <c r="B5" s="125"/>
      <c r="C5" s="125"/>
      <c r="D5" s="125"/>
      <c r="E5" s="125"/>
      <c r="F5" s="125"/>
    </row>
    <row r="6" customFormat="false" ht="15.75" hidden="false" customHeight="true" outlineLevel="0" collapsed="false">
      <c r="A6" s="125" t="s">
        <v>150</v>
      </c>
      <c r="B6" s="125" t="n">
        <v>22</v>
      </c>
      <c r="C6" s="125"/>
      <c r="D6" s="125"/>
      <c r="E6" s="125"/>
      <c r="F6" s="125"/>
    </row>
    <row r="7" customFormat="false" ht="15.75" hidden="false" customHeight="true" outlineLevel="0" collapsed="false">
      <c r="A7" s="125" t="s">
        <v>151</v>
      </c>
      <c r="B7" s="125"/>
      <c r="C7" s="125"/>
      <c r="D7" s="125"/>
      <c r="E7" s="125"/>
      <c r="F7" s="125"/>
    </row>
    <row r="8" customFormat="false" ht="30.75" hidden="false" customHeight="true" outlineLevel="0" collapsed="false">
      <c r="A8" s="125" t="s">
        <v>152</v>
      </c>
      <c r="B8" s="125"/>
      <c r="C8" s="125"/>
      <c r="D8" s="125"/>
      <c r="E8" s="125"/>
      <c r="F8" s="125"/>
    </row>
    <row r="9" customFormat="false" ht="15.75" hidden="false" customHeight="true" outlineLevel="0" collapsed="false">
      <c r="A9" s="125" t="s">
        <v>153</v>
      </c>
      <c r="B9" s="125"/>
      <c r="C9" s="125"/>
      <c r="D9" s="125"/>
      <c r="E9" s="125"/>
      <c r="F9" s="125"/>
    </row>
    <row r="10" customFormat="false" ht="30.75" hidden="false" customHeight="true" outlineLevel="0" collapsed="false">
      <c r="A10" s="125" t="s">
        <v>154</v>
      </c>
      <c r="B10" s="125"/>
      <c r="C10" s="125"/>
      <c r="D10" s="125"/>
      <c r="E10" s="125"/>
      <c r="F10" s="125"/>
    </row>
    <row r="11" customFormat="false" ht="15.75" hidden="false" customHeight="true" outlineLevel="0" collapsed="false">
      <c r="A11" s="125" t="s">
        <v>155</v>
      </c>
      <c r="B11" s="125"/>
      <c r="C11" s="125"/>
      <c r="D11" s="125"/>
      <c r="E11" s="125"/>
      <c r="F11" s="125"/>
    </row>
    <row r="12" customFormat="false" ht="15.75" hidden="false" customHeight="true" outlineLevel="0" collapsed="false">
      <c r="A12" s="154"/>
      <c r="B12" s="125"/>
      <c r="C12" s="125"/>
      <c r="D12" s="125"/>
      <c r="E12" s="125"/>
      <c r="F12" s="125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C25" activeCellId="0" sqref="C2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0.42"/>
    <col collapsed="false" customWidth="true" hidden="false" outlineLevel="0" max="2" min="2" style="0" width="8.29"/>
  </cols>
  <sheetData>
    <row r="1" customFormat="false" ht="15" hidden="false" customHeight="false" outlineLevel="0" collapsed="false">
      <c r="A1" s="0" t="s">
        <v>202</v>
      </c>
    </row>
    <row r="2" customFormat="false" ht="15.75" hidden="false" customHeight="true" outlineLevel="0" collapsed="false">
      <c r="A2" s="0" t="s">
        <v>203</v>
      </c>
    </row>
    <row r="3" customFormat="false" ht="15" hidden="false" customHeight="false" outlineLevel="0" collapsed="false">
      <c r="A3" s="155"/>
      <c r="B3" s="156"/>
      <c r="C3" s="156"/>
    </row>
    <row r="4" customFormat="false" ht="19.5" hidden="false" customHeight="true" outlineLevel="0" collapsed="false">
      <c r="A4" s="157" t="s">
        <v>56</v>
      </c>
      <c r="B4" s="140" t="n">
        <v>2025</v>
      </c>
      <c r="C4" s="140"/>
    </row>
    <row r="5" customFormat="false" ht="15.75" hidden="false" customHeight="true" outlineLevel="0" collapsed="false">
      <c r="A5" s="158"/>
      <c r="B5" s="159"/>
      <c r="C5" s="160" t="s">
        <v>105</v>
      </c>
    </row>
    <row r="6" customFormat="false" ht="16.5" hidden="false" customHeight="true" outlineLevel="0" collapsed="false">
      <c r="A6" s="161"/>
      <c r="B6" s="162" t="s">
        <v>6</v>
      </c>
      <c r="C6" s="160"/>
    </row>
    <row r="7" customFormat="false" ht="16.5" hidden="false" customHeight="true" outlineLevel="0" collapsed="false">
      <c r="A7" s="111" t="s">
        <v>204</v>
      </c>
      <c r="B7" s="163"/>
      <c r="C7" s="164"/>
    </row>
    <row r="8" customFormat="false" ht="16.5" hidden="false" customHeight="true" outlineLevel="0" collapsed="false">
      <c r="A8" s="111" t="s">
        <v>205</v>
      </c>
      <c r="B8" s="143"/>
      <c r="C8" s="165"/>
    </row>
    <row r="9" customFormat="false" ht="16.5" hidden="false" customHeight="true" outlineLevel="0" collapsed="false">
      <c r="A9" s="111" t="s">
        <v>206</v>
      </c>
      <c r="B9" s="143"/>
      <c r="C9" s="165"/>
    </row>
    <row r="10" customFormat="false" ht="16.5" hidden="false" customHeight="true" outlineLevel="0" collapsed="false">
      <c r="A10" s="111" t="s">
        <v>207</v>
      </c>
      <c r="B10" s="143"/>
      <c r="C10" s="165"/>
    </row>
    <row r="11" customFormat="false" ht="16.5" hidden="false" customHeight="true" outlineLevel="0" collapsed="false">
      <c r="A11" s="111" t="s">
        <v>208</v>
      </c>
      <c r="B11" s="143"/>
      <c r="C11" s="165"/>
    </row>
    <row r="12" customFormat="false" ht="16.5" hidden="false" customHeight="true" outlineLevel="0" collapsed="false">
      <c r="A12" s="111" t="s">
        <v>209</v>
      </c>
      <c r="B12" s="143"/>
      <c r="C12" s="165"/>
    </row>
    <row r="13" customFormat="false" ht="16.5" hidden="false" customHeight="true" outlineLevel="0" collapsed="false">
      <c r="A13" s="111" t="s">
        <v>210</v>
      </c>
      <c r="B13" s="143"/>
      <c r="C13" s="165"/>
    </row>
    <row r="14" customFormat="false" ht="16.5" hidden="false" customHeight="true" outlineLevel="0" collapsed="false">
      <c r="A14" s="111" t="s">
        <v>211</v>
      </c>
      <c r="B14" s="143"/>
      <c r="C14" s="165"/>
    </row>
    <row r="15" customFormat="false" ht="16.5" hidden="false" customHeight="true" outlineLevel="0" collapsed="false">
      <c r="A15" s="111" t="s">
        <v>212</v>
      </c>
      <c r="B15" s="143"/>
      <c r="C15" s="165"/>
    </row>
    <row r="16" customFormat="false" ht="16.5" hidden="false" customHeight="true" outlineLevel="0" collapsed="false">
      <c r="A16" s="111" t="s">
        <v>213</v>
      </c>
      <c r="B16" s="143"/>
      <c r="C16" s="165"/>
    </row>
    <row r="17" customFormat="false" ht="16.5" hidden="false" customHeight="true" outlineLevel="0" collapsed="false">
      <c r="A17" s="111" t="s">
        <v>214</v>
      </c>
      <c r="B17" s="143"/>
      <c r="C17" s="165"/>
    </row>
    <row r="18" customFormat="false" ht="16.5" hidden="false" customHeight="true" outlineLevel="0" collapsed="false">
      <c r="A18" s="111" t="s">
        <v>215</v>
      </c>
      <c r="B18" s="143"/>
      <c r="C18" s="165"/>
    </row>
    <row r="19" customFormat="false" ht="16.5" hidden="false" customHeight="true" outlineLevel="0" collapsed="false">
      <c r="A19" s="111" t="s">
        <v>216</v>
      </c>
      <c r="B19" s="163"/>
      <c r="C19" s="164"/>
    </row>
    <row r="20" customFormat="false" ht="16.5" hidden="false" customHeight="true" outlineLevel="0" collapsed="false">
      <c r="A20" s="111" t="s">
        <v>217</v>
      </c>
      <c r="B20" s="143"/>
      <c r="C20" s="165"/>
    </row>
    <row r="21" customFormat="false" ht="16.5" hidden="false" customHeight="true" outlineLevel="0" collapsed="false">
      <c r="A21" s="111" t="s">
        <v>218</v>
      </c>
      <c r="B21" s="143"/>
      <c r="C21" s="165"/>
    </row>
    <row r="22" customFormat="false" ht="16.5" hidden="false" customHeight="true" outlineLevel="0" collapsed="false">
      <c r="A22" s="111" t="s">
        <v>219</v>
      </c>
      <c r="B22" s="143"/>
      <c r="C22" s="165"/>
    </row>
    <row r="23" customFormat="false" ht="16.5" hidden="false" customHeight="true" outlineLevel="0" collapsed="false">
      <c r="A23" s="111" t="s">
        <v>220</v>
      </c>
      <c r="B23" s="143"/>
      <c r="C23" s="165"/>
    </row>
    <row r="24" customFormat="false" ht="16.5" hidden="false" customHeight="true" outlineLevel="0" collapsed="false">
      <c r="A24" s="111" t="s">
        <v>127</v>
      </c>
      <c r="B24" s="143"/>
      <c r="C24" s="165"/>
    </row>
    <row r="25" customFormat="false" ht="16.5" hidden="false" customHeight="true" outlineLevel="0" collapsed="false">
      <c r="A25" s="111" t="s">
        <v>221</v>
      </c>
      <c r="B25" s="143"/>
      <c r="C25" s="165"/>
    </row>
    <row r="26" customFormat="false" ht="15.75" hidden="false" customHeight="true" outlineLevel="0" collapsed="false">
      <c r="A26" s="166" t="s">
        <v>222</v>
      </c>
      <c r="B26" s="166"/>
      <c r="C26" s="166"/>
    </row>
  </sheetData>
  <mergeCells count="4">
    <mergeCell ref="B3:C3"/>
    <mergeCell ref="B4:C4"/>
    <mergeCell ref="C5:C6"/>
    <mergeCell ref="A26:C26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E14" activeCellId="0" sqref="E14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37.42"/>
    <col collapsed="false" customWidth="true" hidden="false" outlineLevel="0" max="2" min="2" style="132" width="12.71"/>
    <col collapsed="false" customWidth="true" hidden="false" outlineLevel="0" max="3" min="3" style="132" width="11.71"/>
  </cols>
  <sheetData>
    <row r="1" customFormat="false" ht="15" hidden="false" customHeight="false" outlineLevel="0" collapsed="false">
      <c r="A1" s="0" t="s">
        <v>193</v>
      </c>
    </row>
    <row r="2" customFormat="false" ht="15" hidden="false" customHeight="false" outlineLevel="0" collapsed="false">
      <c r="A2" s="0" t="s">
        <v>223</v>
      </c>
    </row>
    <row r="3" customFormat="false" ht="19.5" hidden="false" customHeight="true" outlineLevel="0" collapsed="false">
      <c r="A3" s="167" t="s">
        <v>224</v>
      </c>
      <c r="B3" s="136"/>
      <c r="C3" s="136"/>
    </row>
    <row r="4" customFormat="false" ht="15" hidden="false" customHeight="false" outlineLevel="0" collapsed="false">
      <c r="A4" s="168"/>
      <c r="B4" s="169" t="s">
        <v>32</v>
      </c>
      <c r="C4" s="169"/>
    </row>
    <row r="5" customFormat="false" ht="15.75" hidden="false" customHeight="true" outlineLevel="0" collapsed="false">
      <c r="A5" s="170" t="s">
        <v>32</v>
      </c>
      <c r="B5" s="169"/>
      <c r="C5" s="169"/>
    </row>
    <row r="6" customFormat="false" ht="15.75" hidden="false" customHeight="true" outlineLevel="0" collapsed="false">
      <c r="A6" s="171"/>
      <c r="B6" s="172" t="s">
        <v>6</v>
      </c>
      <c r="C6" s="173" t="s">
        <v>105</v>
      </c>
    </row>
    <row r="7" customFormat="false" ht="15.75" hidden="false" customHeight="true" outlineLevel="0" collapsed="false">
      <c r="A7" s="174" t="s">
        <v>225</v>
      </c>
      <c r="B7" s="175"/>
      <c r="C7" s="176"/>
    </row>
    <row r="8" customFormat="false" ht="15.75" hidden="false" customHeight="true" outlineLevel="0" collapsed="false">
      <c r="A8" s="174" t="s">
        <v>226</v>
      </c>
      <c r="B8" s="175"/>
      <c r="C8" s="176"/>
    </row>
    <row r="9" customFormat="false" ht="15.75" hidden="false" customHeight="true" outlineLevel="0" collapsed="false">
      <c r="A9" s="171" t="s">
        <v>227</v>
      </c>
      <c r="B9" s="175"/>
      <c r="C9" s="176"/>
    </row>
    <row r="10" customFormat="false" ht="15.75" hidden="false" customHeight="true" outlineLevel="0" collapsed="false">
      <c r="A10" s="177" t="s">
        <v>228</v>
      </c>
      <c r="B10" s="177"/>
      <c r="C10" s="177"/>
    </row>
    <row r="11" customFormat="false" ht="15.75" hidden="false" customHeight="true" outlineLevel="0" collapsed="false">
      <c r="A11" s="178" t="s">
        <v>225</v>
      </c>
      <c r="B11" s="175" t="n">
        <v>142872</v>
      </c>
      <c r="C11" s="176" t="n">
        <v>14942539230</v>
      </c>
    </row>
    <row r="12" customFormat="false" ht="15.75" hidden="false" customHeight="true" outlineLevel="0" collapsed="false">
      <c r="A12" s="174" t="s">
        <v>229</v>
      </c>
      <c r="B12" s="175" t="n">
        <v>0</v>
      </c>
      <c r="C12" s="176" t="n">
        <v>0</v>
      </c>
    </row>
    <row r="13" customFormat="false" ht="15.75" hidden="false" customHeight="true" outlineLevel="0" collapsed="false">
      <c r="A13" s="171" t="s">
        <v>230</v>
      </c>
      <c r="B13" s="175" t="n">
        <v>142872</v>
      </c>
      <c r="C13" s="176" t="n">
        <v>14942539230</v>
      </c>
    </row>
    <row r="14" customFormat="false" ht="15.75" hidden="false" customHeight="true" outlineLevel="0" collapsed="false">
      <c r="A14" s="177" t="s">
        <v>231</v>
      </c>
      <c r="B14" s="177"/>
      <c r="C14" s="177"/>
    </row>
    <row r="15" customFormat="false" ht="15.75" hidden="false" customHeight="true" outlineLevel="0" collapsed="false">
      <c r="A15" s="174" t="s">
        <v>225</v>
      </c>
      <c r="B15" s="175" t="n">
        <v>30683</v>
      </c>
      <c r="C15" s="176" t="n">
        <v>3300909329</v>
      </c>
    </row>
    <row r="16" customFormat="false" ht="15.75" hidden="false" customHeight="true" outlineLevel="0" collapsed="false">
      <c r="A16" s="174" t="s">
        <v>229</v>
      </c>
      <c r="B16" s="175" t="n">
        <v>0</v>
      </c>
      <c r="C16" s="176" t="n">
        <v>0</v>
      </c>
    </row>
    <row r="17" customFormat="false" ht="15.75" hidden="false" customHeight="true" outlineLevel="0" collapsed="false">
      <c r="A17" s="171" t="s">
        <v>232</v>
      </c>
      <c r="B17" s="175" t="n">
        <v>30683</v>
      </c>
      <c r="C17" s="176" t="n">
        <v>3300909329</v>
      </c>
    </row>
    <row r="18" customFormat="false" ht="15.75" hidden="false" customHeight="true" outlineLevel="0" collapsed="false">
      <c r="A18" s="177" t="s">
        <v>233</v>
      </c>
      <c r="B18" s="177"/>
      <c r="C18" s="177"/>
    </row>
    <row r="19" customFormat="false" ht="15.75" hidden="false" customHeight="true" outlineLevel="0" collapsed="false">
      <c r="A19" s="174" t="s">
        <v>225</v>
      </c>
      <c r="B19" s="175" t="n">
        <v>0</v>
      </c>
      <c r="C19" s="176" t="n">
        <v>0</v>
      </c>
    </row>
    <row r="20" customFormat="false" ht="15.75" hidden="false" customHeight="true" outlineLevel="0" collapsed="false">
      <c r="A20" s="174" t="s">
        <v>229</v>
      </c>
      <c r="B20" s="175" t="n">
        <v>0</v>
      </c>
      <c r="C20" s="176" t="n">
        <v>0</v>
      </c>
    </row>
    <row r="21" customFormat="false" ht="15.75" hidden="false" customHeight="true" outlineLevel="0" collapsed="false">
      <c r="A21" s="171" t="s">
        <v>234</v>
      </c>
      <c r="B21" s="175" t="n">
        <v>0</v>
      </c>
      <c r="C21" s="176" t="n">
        <v>0</v>
      </c>
    </row>
    <row r="22" customFormat="false" ht="15" hidden="false" customHeight="false" outlineLevel="0" collapsed="false">
      <c r="A22" s="145"/>
      <c r="B22" s="152"/>
      <c r="C22" s="152"/>
    </row>
    <row r="23" customFormat="false" ht="19.5" hidden="false" customHeight="true" outlineLevel="0" collapsed="false">
      <c r="A23" s="179" t="s">
        <v>235</v>
      </c>
      <c r="B23" s="136"/>
      <c r="C23" s="136"/>
    </row>
    <row r="24" customFormat="false" ht="15.75" hidden="false" customHeight="true" outlineLevel="0" collapsed="false">
      <c r="A24" s="180" t="s">
        <v>32</v>
      </c>
      <c r="B24" s="181" t="s">
        <v>32</v>
      </c>
      <c r="C24" s="181"/>
    </row>
    <row r="25" customFormat="false" ht="15.75" hidden="false" customHeight="true" outlineLevel="0" collapsed="false">
      <c r="A25" s="182" t="s">
        <v>236</v>
      </c>
      <c r="B25" s="183"/>
      <c r="C25" s="184"/>
    </row>
    <row r="26" customFormat="false" ht="15.75" hidden="false" customHeight="true" outlineLevel="0" collapsed="false">
      <c r="A26" s="182" t="s">
        <v>237</v>
      </c>
      <c r="B26" s="183"/>
      <c r="C26" s="184"/>
    </row>
    <row r="27" customFormat="false" ht="15.75" hidden="false" customHeight="true" outlineLevel="0" collapsed="false">
      <c r="A27" s="185" t="s">
        <v>238</v>
      </c>
      <c r="B27" s="186"/>
      <c r="C27" s="187"/>
    </row>
    <row r="28" customFormat="false" ht="15.75" hidden="false" customHeight="true" outlineLevel="0" collapsed="false">
      <c r="A28" s="188" t="s">
        <v>239</v>
      </c>
      <c r="B28" s="189"/>
      <c r="C28" s="190"/>
    </row>
    <row r="29" customFormat="false" ht="15.75" hidden="false" customHeight="true" outlineLevel="0" collapsed="false">
      <c r="A29" s="191" t="s">
        <v>228</v>
      </c>
      <c r="B29" s="191"/>
      <c r="C29" s="191"/>
    </row>
    <row r="30" customFormat="false" ht="15.75" hidden="false" customHeight="true" outlineLevel="0" collapsed="false">
      <c r="A30" s="182" t="s">
        <v>236</v>
      </c>
      <c r="B30" s="183"/>
      <c r="C30" s="184"/>
    </row>
    <row r="31" customFormat="false" ht="15.75" hidden="false" customHeight="true" outlineLevel="0" collapsed="false">
      <c r="A31" s="182" t="s">
        <v>237</v>
      </c>
      <c r="B31" s="183"/>
      <c r="C31" s="184"/>
    </row>
    <row r="32" customFormat="false" ht="15.75" hidden="false" customHeight="true" outlineLevel="0" collapsed="false">
      <c r="A32" s="185" t="s">
        <v>238</v>
      </c>
      <c r="B32" s="183"/>
      <c r="C32" s="184"/>
    </row>
    <row r="33" customFormat="false" ht="15.75" hidden="false" customHeight="true" outlineLevel="0" collapsed="false">
      <c r="A33" s="188" t="s">
        <v>230</v>
      </c>
      <c r="B33" s="183"/>
      <c r="C33" s="184"/>
    </row>
    <row r="34" customFormat="false" ht="15.75" hidden="false" customHeight="true" outlineLevel="0" collapsed="false">
      <c r="A34" s="191" t="s">
        <v>231</v>
      </c>
      <c r="B34" s="191"/>
      <c r="C34" s="191"/>
    </row>
    <row r="35" customFormat="false" ht="15.75" hidden="false" customHeight="true" outlineLevel="0" collapsed="false">
      <c r="A35" s="182" t="s">
        <v>236</v>
      </c>
      <c r="B35" s="183"/>
      <c r="C35" s="184"/>
    </row>
    <row r="36" customFormat="false" ht="15.75" hidden="false" customHeight="true" outlineLevel="0" collapsed="false">
      <c r="A36" s="182" t="s">
        <v>237</v>
      </c>
      <c r="B36" s="183"/>
      <c r="C36" s="184"/>
    </row>
    <row r="37" customFormat="false" ht="15.75" hidden="false" customHeight="true" outlineLevel="0" collapsed="false">
      <c r="A37" s="185" t="s">
        <v>238</v>
      </c>
      <c r="B37" s="186"/>
      <c r="C37" s="187"/>
    </row>
    <row r="38" customFormat="false" ht="15.75" hidden="false" customHeight="true" outlineLevel="0" collapsed="false">
      <c r="A38" s="188" t="s">
        <v>232</v>
      </c>
      <c r="B38" s="189"/>
      <c r="C38" s="190"/>
    </row>
    <row r="39" customFormat="false" ht="15.75" hidden="false" customHeight="true" outlineLevel="0" collapsed="false">
      <c r="A39" s="191" t="s">
        <v>233</v>
      </c>
      <c r="B39" s="191"/>
      <c r="C39" s="191"/>
    </row>
    <row r="40" customFormat="false" ht="15.75" hidden="false" customHeight="true" outlineLevel="0" collapsed="false">
      <c r="A40" s="192"/>
      <c r="B40" s="193" t="s">
        <v>6</v>
      </c>
      <c r="C40" s="194" t="s">
        <v>105</v>
      </c>
    </row>
    <row r="41" customFormat="false" ht="15.75" hidden="false" customHeight="true" outlineLevel="0" collapsed="false">
      <c r="A41" s="182" t="s">
        <v>236</v>
      </c>
      <c r="B41" s="189"/>
      <c r="C41" s="190"/>
    </row>
    <row r="42" customFormat="false" ht="15.75" hidden="false" customHeight="true" outlineLevel="0" collapsed="false">
      <c r="A42" s="182" t="s">
        <v>237</v>
      </c>
      <c r="B42" s="183"/>
      <c r="C42" s="184"/>
    </row>
    <row r="43" customFormat="false" ht="15.75" hidden="false" customHeight="true" outlineLevel="0" collapsed="false">
      <c r="A43" s="185" t="s">
        <v>238</v>
      </c>
      <c r="B43" s="186"/>
      <c r="C43" s="187"/>
    </row>
    <row r="44" customFormat="false" ht="15.75" hidden="false" customHeight="true" outlineLevel="0" collapsed="false">
      <c r="A44" s="188" t="s">
        <v>234</v>
      </c>
      <c r="B44" s="189"/>
      <c r="C44" s="190"/>
    </row>
  </sheetData>
  <mergeCells count="8">
    <mergeCell ref="B4:C5"/>
    <mergeCell ref="A10:C10"/>
    <mergeCell ref="A14:C14"/>
    <mergeCell ref="A18:C18"/>
    <mergeCell ref="B24:C24"/>
    <mergeCell ref="A29:C29"/>
    <mergeCell ref="A34:C34"/>
    <mergeCell ref="A39:C39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27.86"/>
    <col collapsed="false" customWidth="true" hidden="false" outlineLevel="0" max="2" min="2" style="0" width="15.42"/>
    <col collapsed="false" customWidth="true" hidden="false" outlineLevel="0" max="4" min="4" style="0" width="17.57"/>
    <col collapsed="false" customWidth="true" hidden="false" outlineLevel="0" max="5" min="5" style="0" width="16.43"/>
  </cols>
  <sheetData>
    <row r="1" customFormat="false" ht="15" hidden="false" customHeight="false" outlineLevel="0" collapsed="false">
      <c r="A1" s="195" t="s">
        <v>240</v>
      </c>
      <c r="B1" s="195"/>
      <c r="C1" s="195"/>
      <c r="D1" s="195"/>
      <c r="E1" s="195"/>
    </row>
    <row r="2" customFormat="false" ht="15.75" hidden="false" customHeight="true" outlineLevel="0" collapsed="false">
      <c r="A2" s="26"/>
      <c r="B2" s="26"/>
      <c r="C2" s="26"/>
      <c r="D2" s="26"/>
      <c r="E2" s="26"/>
    </row>
    <row r="3" customFormat="false" ht="15" hidden="false" customHeight="false" outlineLevel="0" collapsed="false">
      <c r="A3" s="196" t="s">
        <v>241</v>
      </c>
      <c r="B3" s="8" t="s">
        <v>242</v>
      </c>
      <c r="C3" s="8" t="s">
        <v>243</v>
      </c>
      <c r="D3" s="8" t="s">
        <v>244</v>
      </c>
      <c r="E3" s="9" t="s">
        <v>245</v>
      </c>
    </row>
    <row r="4" customFormat="false" ht="15" hidden="false" customHeight="false" outlineLevel="0" collapsed="false">
      <c r="A4" s="197"/>
      <c r="B4" s="198"/>
      <c r="C4" s="198"/>
      <c r="D4" s="198"/>
      <c r="E4" s="199"/>
    </row>
    <row r="5" customFormat="false" ht="15" hidden="false" customHeight="false" outlineLevel="0" collapsed="false">
      <c r="A5" s="197"/>
      <c r="B5" s="198"/>
      <c r="C5" s="198"/>
      <c r="D5" s="198"/>
      <c r="E5" s="199"/>
    </row>
    <row r="6" customFormat="false" ht="15" hidden="false" customHeight="false" outlineLevel="0" collapsed="false">
      <c r="A6" s="197"/>
      <c r="B6" s="198"/>
      <c r="C6" s="198"/>
      <c r="D6" s="198"/>
      <c r="E6" s="199"/>
    </row>
    <row r="7" customFormat="false" ht="15" hidden="false" customHeight="false" outlineLevel="0" collapsed="false">
      <c r="A7" s="197"/>
      <c r="B7" s="198"/>
      <c r="C7" s="198"/>
      <c r="D7" s="198"/>
      <c r="E7" s="199"/>
    </row>
    <row r="8" customFormat="false" ht="15" hidden="false" customHeight="false" outlineLevel="0" collapsed="false">
      <c r="A8" s="197"/>
      <c r="B8" s="198"/>
      <c r="C8" s="198"/>
      <c r="D8" s="198"/>
      <c r="E8" s="199"/>
    </row>
    <row r="9" customFormat="false" ht="15" hidden="false" customHeight="false" outlineLevel="0" collapsed="false">
      <c r="A9" s="197"/>
      <c r="B9" s="198"/>
      <c r="C9" s="198"/>
      <c r="D9" s="198"/>
      <c r="E9" s="199"/>
    </row>
    <row r="10" customFormat="false" ht="15" hidden="false" customHeight="false" outlineLevel="0" collapsed="false">
      <c r="A10" s="197"/>
      <c r="B10" s="198"/>
      <c r="C10" s="198"/>
      <c r="D10" s="198"/>
      <c r="E10" s="199"/>
    </row>
    <row r="11" customFormat="false" ht="15" hidden="false" customHeight="false" outlineLevel="0" collapsed="false">
      <c r="A11" s="197"/>
      <c r="B11" s="198"/>
      <c r="C11" s="198"/>
      <c r="D11" s="198"/>
      <c r="E11" s="199"/>
    </row>
    <row r="12" customFormat="false" ht="15" hidden="false" customHeight="false" outlineLevel="0" collapsed="false">
      <c r="A12" s="197"/>
      <c r="B12" s="198"/>
      <c r="C12" s="198"/>
      <c r="D12" s="198"/>
      <c r="E12" s="199"/>
    </row>
    <row r="13" customFormat="false" ht="15.75" hidden="false" customHeight="true" outlineLevel="0" collapsed="false">
      <c r="A13" s="200"/>
      <c r="B13" s="201"/>
      <c r="C13" s="201"/>
      <c r="D13" s="201"/>
      <c r="E13" s="202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&amp;L&amp;"arial"&amp;8 &amp;"arial,Gras"&amp;K43a047Classification:&amp;"arial" &amp;"arial,Gras"public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2014-02-13T09:49:36Z</dcterms:created>
  <dc:creator>Données fictives</dc:creator>
  <dc:description/>
  <dc:language>fr-FR</dc:language>
  <cp:lastModifiedBy>Données fictives</cp:lastModifiedBy>
  <cp:lastPrinted>2020-11-12T12:03:24Z</cp:lastPrinted>
  <dcterms:modified xsi:type="dcterms:W3CDTF">2026-10-01T15:46:23Z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